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2ad315ef27af320/Desktop/"/>
    </mc:Choice>
  </mc:AlternateContent>
  <xr:revisionPtr revIDLastSave="0" documentId="8_{CC7313BA-1A66-4A0A-9115-EA75FB4286A3}" xr6:coauthVersionLast="47" xr6:coauthVersionMax="47" xr10:uidLastSave="{00000000-0000-0000-0000-000000000000}"/>
  <bookViews>
    <workbookView xWindow="-108" yWindow="-108" windowWidth="23256" windowHeight="12456" xr2:uid="{00000000-000D-0000-FFFF-FFFF00000000}"/>
  </bookViews>
  <sheets>
    <sheet name="Dashboard" sheetId="8" r:id="rId1"/>
    <sheet name="Pivot 1" sheetId="3" r:id="rId2"/>
    <sheet name="Pivot 2" sheetId="4" r:id="rId3"/>
    <sheet name="Pivot 3" sheetId="5" r:id="rId4"/>
    <sheet name="Pivot 4" sheetId="6" r:id="rId5"/>
    <sheet name="Pivot 5" sheetId="9" r:id="rId6"/>
    <sheet name="Pivot 6" sheetId="11" r:id="rId7"/>
    <sheet name="Production Dataset" sheetId="1" r:id="rId8"/>
  </sheets>
  <definedNames>
    <definedName name="_xlnm._FilterDatabase" localSheetId="7" hidden="1">#REF!</definedName>
    <definedName name="Slicer_Age_Groups">#N/A</definedName>
    <definedName name="Slicer_Gender">#N/A</definedName>
    <definedName name="Slicer_Quarters__ProductionDat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8" l="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<sst xmlns="http://schemas.openxmlformats.org/spreadsheetml/2006/main" count="552" uniqueCount="53">
  <si>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</si>
  <si>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</si>
  <si>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</si>
  <si>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</si>
  <si>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</si>
  <si>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</si>
  <si>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</si>
  <si>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</si>
  <si>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</si>
  <si>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</si>
  <si>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</si>
  <si>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</si>
  <si>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</si>
  <si>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</si>
  <si>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</si>
  <si>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</si>
  <si>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</si>
  <si>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</si>
  <si>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</si>
  <si>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</si>
  <si>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</si>
  <si>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</si>
  <si>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</si>
  <si>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</si>
  <si>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</si>
  <si>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</si>
  <si>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</si>
  <si>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</si>
  <si>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</si>
  <si>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</si>
  <si>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</si>
  <si>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 xml:space="preserve">Production Cost Per Unit </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</si>
  <si>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</si>
  <si>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</si>
  <si>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</si>
  <si>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</si>
  <si>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</si>
  <si>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</si>
  <si>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</si>
  <si>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</si>
  <si>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</si>
  <si>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</si>
  <si>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</si>
  <si>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</si>
  <si>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</si>
  <si>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</si>
  <si>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</si>
  <si>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</si>
  <si>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</si>
  <si>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</si>
  <si>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</si>
  <si>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 xml:space="preserve">Average of Production Cost Per Unit </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</si>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</sst>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Calibri"/>
      <family val="2"/>
      <scheme val="minor"/>
    </font>
    <font>
      <sz val="11"/>
      <color theme="1"/>
      <name val="Calibri"/>
      <family val="2"/>
      <scheme val="minor"/>
    </font>
    <font>
      <b/>
      <sz val="72"/>
      <color theme="1"/>
      <name val="Times New Roman"/>
      <family val="1"/>
    </font>
  </fonts>
  <fills count="3">
    <fill>
      <patternFill patternType="none"/>
    </fill>
    <fill>
      <patternFill patternType="gray125"/>
    </fill>
    <fill>
      <patternFill patternType="solid">
        <fgColor rgb="FFFFCCCC"/>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43" fontId="0" fillId="0" borderId="0" xfId="0" applyNumberFormat="1"/>
    <xf numFmtId="0" fontId="0" fillId="0" borderId="0" xfId="0" applyAlignment="1">
      <alignment horizontal="center"/>
    </xf>
    <xf numFmtId="0" fontId="2" fillId="2" borderId="0" xfId="0" applyFont="1" applyFill="1" applyAlignment="1">
      <alignment horizontal="center"/>
    </xf>
    <xf numFmtId="0" fontId="0" fillId="2" borderId="0" xfId="0" applyFill="1" applyAlignment="1">
      <alignment horizontal="center"/>
    </xf>
  </cellXfs>
  <cellStyles count="2">
    <cellStyle name="Comma" xfId="1" builtinId="3"/>
    <cellStyle name="Normal" xfId="0" builtinId="0"/>
  </cellStyles>
  <dxfs count="4">
    <dxf>
      <numFmt numFmtId="164" formatCode="_ * #,##0_ ;_ * \-#,##0_ ;_ * &quot;-&quot;??_ ;_ @_ "/>
    </dxf>
    <dxf>
      <numFmt numFmtId="164" formatCode="_ * #,##0_ ;_ * \-#,##0_ ;_ * &quot;-&quot;??_ ;_ @_ "/>
    </dxf>
    <dxf>
      <numFmt numFmtId="35" formatCode="_ * #,##0.00_ ;_ * \-#,##0.00_ ;_ * &quot;-&quot;??_ ;_ @_ "/>
    </dxf>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CCFFCC"/>
      <color rgb="FF66FFFF"/>
      <color rgb="FFFFCCCC"/>
      <color rgb="FF99FF66"/>
      <color rgb="FFFF99FF"/>
      <color rgb="FFCCCCFF"/>
      <color rgb="FF003300"/>
      <color rgb="FFFFCC99"/>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ysClr val="windowText" lastClr="000000"/>
                </a:solidFill>
              </a:rPr>
              <a:t>Total</a:t>
            </a:r>
            <a:r>
              <a:rPr lang="en-IN" b="1" i="1" u="sng" baseline="0">
                <a:solidFill>
                  <a:sysClr val="windowText" lastClr="000000"/>
                </a:solidFill>
              </a:rPr>
              <a:t> Production Cost by Product Type</a:t>
            </a:r>
            <a:endParaRPr lang="en-IN" b="1" i="1" u="sng">
              <a:solidFill>
                <a:sysClr val="windowText" lastClr="000000"/>
              </a:solidFill>
            </a:endParaRPr>
          </a:p>
        </c:rich>
      </c:tx>
      <c:layout>
        <c:manualLayout>
          <c:xMode val="edge"/>
          <c:yMode val="edge"/>
          <c:x val="0.28953942232630758"/>
          <c:y val="2.835538752362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5EE5-4B9E-89C8-D98A1D62AF7A}"/>
            </c:ext>
          </c:extLst>
        </c:ser>
        <c:dLbls>
          <c:showLegendKey val="0"/>
          <c:showVal val="0"/>
          <c:showCatName val="0"/>
          <c:showSerName val="0"/>
          <c:showPercent val="0"/>
          <c:showBubbleSize val="0"/>
        </c:dLbls>
        <c:gapWidth val="150"/>
        <c:shape val="box"/>
        <c:axId val="1558199567"/>
        <c:axId val="1558187087"/>
        <c:axId val="0"/>
      </c:bar3DChart>
      <c:catAx>
        <c:axId val="1558199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58187087"/>
        <c:crosses val="autoZero"/>
        <c:auto val="1"/>
        <c:lblAlgn val="ctr"/>
        <c:lblOffset val="100"/>
        <c:noMultiLvlLbl val="0"/>
      </c:catAx>
      <c:valAx>
        <c:axId val="155818708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5819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ysClr val="windowText" lastClr="000000"/>
                </a:solidFill>
              </a:rPr>
              <a:t>Number</a:t>
            </a:r>
            <a:r>
              <a:rPr lang="en-IN" b="1" i="1" u="sng" baseline="0">
                <a:solidFill>
                  <a:sysClr val="windowText" lastClr="000000"/>
                </a:solidFill>
              </a:rPr>
              <a:t> of the Tasks by Manager</a:t>
            </a:r>
            <a:endParaRPr lang="en-IN"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1345-43C9-86E3-CF5384E8898F}"/>
            </c:ext>
          </c:extLst>
        </c:ser>
        <c:dLbls>
          <c:showLegendKey val="0"/>
          <c:showVal val="1"/>
          <c:showCatName val="0"/>
          <c:showSerName val="0"/>
          <c:showPercent val="0"/>
          <c:showBubbleSize val="0"/>
        </c:dLbls>
        <c:gapWidth val="150"/>
        <c:shape val="box"/>
        <c:axId val="1607188847"/>
        <c:axId val="1607200847"/>
        <c:axId val="0"/>
      </c:bar3DChart>
      <c:catAx>
        <c:axId val="1607188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07200847"/>
        <c:crosses val="autoZero"/>
        <c:auto val="1"/>
        <c:lblAlgn val="ctr"/>
        <c:lblOffset val="100"/>
        <c:noMultiLvlLbl val="0"/>
      </c:catAx>
      <c:valAx>
        <c:axId val="1607200847"/>
        <c:scaling>
          <c:orientation val="minMax"/>
        </c:scaling>
        <c:delete val="1"/>
        <c:axPos val="b"/>
        <c:numFmt formatCode="General" sourceLinked="1"/>
        <c:majorTickMark val="none"/>
        <c:minorTickMark val="none"/>
        <c:tickLblPos val="nextTo"/>
        <c:crossAx val="160718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a:sp3d/>
        </c:spPr>
        <c:dLbl>
          <c:idx val="0"/>
          <c:layout>
            <c:manualLayout>
              <c:x val="1.734304543877905E-3"/>
              <c:y val="-5.2910052910052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sp3d/>
        </c:spPr>
        <c:dLbl>
          <c:idx val="0"/>
          <c:layout>
            <c:manualLayout>
              <c:x val="0"/>
              <c:y val="-4.29894179894179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a:sp3d/>
        </c:spPr>
        <c:dLbl>
          <c:idx val="0"/>
          <c:layout>
            <c:manualLayout>
              <c:x val="0"/>
              <c:y val="-4.29894179894179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a:sp3d/>
        </c:spPr>
        <c:dLbl>
          <c:idx val="0"/>
          <c:layout>
            <c:manualLayout>
              <c:x val="1.734304543877905E-3"/>
              <c:y val="-5.2910052910052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a:noFill/>
          </a:ln>
          <a:effectLst/>
          <a:sp3d/>
        </c:spPr>
        <c:dLbl>
          <c:idx val="0"/>
          <c:layout>
            <c:manualLayout>
              <c:x val="0"/>
              <c:y val="-4.29894179894179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a:sp3d/>
        </c:spPr>
        <c:dLbl>
          <c:idx val="0"/>
          <c:layout>
            <c:manualLayout>
              <c:x val="1.734304543877905E-3"/>
              <c:y val="-5.2910052910052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bg1">
                <a:lumMod val="50000"/>
              </a:schemeClr>
            </a:solidFill>
            <a:ln>
              <a:noFill/>
            </a:ln>
            <a:effectLst/>
            <a:sp3d/>
          </c:spPr>
          <c:dPt>
            <c:idx val="5"/>
            <c:bubble3D val="0"/>
            <c:spPr>
              <a:solidFill>
                <a:schemeClr val="bg1">
                  <a:lumMod val="50000"/>
                </a:schemeClr>
              </a:solidFill>
              <a:ln>
                <a:noFill/>
              </a:ln>
              <a:effectLst/>
              <a:sp3d/>
            </c:spPr>
            <c:extLst>
              <c:ext xmlns:c16="http://schemas.microsoft.com/office/drawing/2014/chart" uri="{C3380CC4-5D6E-409C-BE32-E72D297353CC}">
                <c16:uniqueId val="{00000000-D805-46DC-8229-4CBEE81FFD00}"/>
              </c:ext>
            </c:extLst>
          </c:dPt>
          <c:dPt>
            <c:idx val="7"/>
            <c:bubble3D val="0"/>
            <c:spPr>
              <a:solidFill>
                <a:schemeClr val="bg1">
                  <a:lumMod val="50000"/>
                </a:schemeClr>
              </a:solidFill>
              <a:ln>
                <a:noFill/>
              </a:ln>
              <a:effectLst/>
              <a:sp3d/>
            </c:spPr>
            <c:extLst>
              <c:ext xmlns:c16="http://schemas.microsoft.com/office/drawing/2014/chart" uri="{C3380CC4-5D6E-409C-BE32-E72D297353CC}">
                <c16:uniqueId val="{00000001-D805-46DC-8229-4CBEE81FFD00}"/>
              </c:ext>
            </c:extLst>
          </c:dPt>
          <c:dLbls>
            <c:dLbl>
              <c:idx val="5"/>
              <c:layout>
                <c:manualLayout>
                  <c:x val="0"/>
                  <c:y val="-4.2989417989417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05-46DC-8229-4CBEE81FFD00}"/>
                </c:ext>
              </c:extLst>
            </c:dLbl>
            <c:dLbl>
              <c:idx val="7"/>
              <c:layout>
                <c:manualLayout>
                  <c:x val="1.734304543877905E-3"/>
                  <c:y val="-5.291005291005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05-46DC-8229-4CBEE81FFD0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2-D805-46DC-8229-4CBEE81FFD00}"/>
            </c:ext>
          </c:extLst>
        </c:ser>
        <c:dLbls>
          <c:showLegendKey val="0"/>
          <c:showVal val="1"/>
          <c:showCatName val="0"/>
          <c:showSerName val="0"/>
          <c:showPercent val="0"/>
          <c:showBubbleSize val="0"/>
        </c:dLbls>
        <c:axId val="2045761519"/>
        <c:axId val="2045761999"/>
        <c:axId val="1940415471"/>
      </c:line3DChart>
      <c:catAx>
        <c:axId val="2045761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45761999"/>
        <c:crosses val="autoZero"/>
        <c:auto val="1"/>
        <c:lblAlgn val="ctr"/>
        <c:lblOffset val="100"/>
        <c:noMultiLvlLbl val="0"/>
      </c:catAx>
      <c:valAx>
        <c:axId val="2045761999"/>
        <c:scaling>
          <c:orientation val="minMax"/>
        </c:scaling>
        <c:delete val="1"/>
        <c:axPos val="l"/>
        <c:numFmt formatCode="General" sourceLinked="1"/>
        <c:majorTickMark val="none"/>
        <c:minorTickMark val="none"/>
        <c:tickLblPos val="nextTo"/>
        <c:crossAx val="2045761519"/>
        <c:crosses val="autoZero"/>
        <c:crossBetween val="between"/>
      </c:valAx>
      <c:serAx>
        <c:axId val="1940415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619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ysClr val="windowText" lastClr="000000"/>
                </a:solidFill>
              </a:rPr>
              <a:t>Average</a:t>
            </a:r>
            <a:r>
              <a:rPr lang="en-IN" b="1" i="1" u="sng" baseline="0">
                <a:solidFill>
                  <a:sysClr val="windowText" lastClr="000000"/>
                </a:solidFill>
              </a:rPr>
              <a:t> Production Cost Per Unit by Product Type</a:t>
            </a:r>
            <a:endParaRPr lang="en-IN"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99FF66"/>
          </a:solidFill>
          <a:ln w="25400">
            <a:solidFill>
              <a:schemeClr val="lt1"/>
            </a:solidFill>
          </a:ln>
          <a:effectLst/>
          <a:sp3d contourW="25400">
            <a:contourClr>
              <a:schemeClr val="lt1"/>
            </a:contourClr>
          </a:sp3d>
        </c:spPr>
      </c:pivotFmt>
      <c:pivotFmt>
        <c:idx val="4"/>
        <c:spPr>
          <a:solidFill>
            <a:srgbClr val="66FFFF"/>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66FFFF"/>
          </a:solidFill>
          <a:ln w="25400">
            <a:solidFill>
              <a:schemeClr val="lt1"/>
            </a:solidFill>
          </a:ln>
          <a:effectLst/>
          <a:sp3d contourW="25400">
            <a:contourClr>
              <a:schemeClr val="lt1"/>
            </a:contourClr>
          </a:sp3d>
        </c:spPr>
      </c:pivotFmt>
      <c:pivotFmt>
        <c:idx val="7"/>
        <c:spPr>
          <a:solidFill>
            <a:srgbClr val="99FF66"/>
          </a:solidFill>
          <a:ln w="25400">
            <a:solidFill>
              <a:schemeClr val="lt1"/>
            </a:solidFill>
          </a:ln>
          <a:effectLst/>
          <a:sp3d contourW="25400">
            <a:contourClr>
              <a:schemeClr val="lt1"/>
            </a:contourClr>
          </a:sp3d>
        </c:spPr>
      </c:pivotFmt>
      <c:pivotFmt>
        <c:idx val="8"/>
        <c:spPr>
          <a:solidFill>
            <a:srgbClr val="FFCCCC"/>
          </a:solidFill>
          <a:ln w="25400">
            <a:solidFill>
              <a:schemeClr val="lt1"/>
            </a:solidFill>
          </a:ln>
          <a:effectLst/>
          <a:sp3d contourW="25400">
            <a:contourClr>
              <a:schemeClr val="lt1"/>
            </a:contourClr>
          </a:sp3d>
        </c:spPr>
      </c:pivotFmt>
      <c:pivotFmt>
        <c:idx val="9"/>
        <c:spPr>
          <a:solidFill>
            <a:schemeClr val="accent3">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66FFFF"/>
          </a:solidFill>
          <a:ln w="25400">
            <a:solidFill>
              <a:schemeClr val="lt1"/>
            </a:solidFill>
          </a:ln>
          <a:effectLst/>
          <a:sp3d contourW="25400">
            <a:contourClr>
              <a:schemeClr val="lt1"/>
            </a:contourClr>
          </a:sp3d>
        </c:spPr>
      </c:pivotFmt>
      <c:pivotFmt>
        <c:idx val="12"/>
        <c:spPr>
          <a:solidFill>
            <a:srgbClr val="99FF66"/>
          </a:solidFill>
          <a:ln w="25400">
            <a:solidFill>
              <a:schemeClr val="lt1"/>
            </a:solidFill>
          </a:ln>
          <a:effectLst/>
          <a:sp3d contourW="25400">
            <a:contourClr>
              <a:schemeClr val="lt1"/>
            </a:contourClr>
          </a:sp3d>
        </c:spPr>
      </c:pivotFmt>
      <c:pivotFmt>
        <c:idx val="13"/>
        <c:spPr>
          <a:solidFill>
            <a:srgbClr val="FFCCCC"/>
          </a:solidFill>
          <a:ln w="25400">
            <a:solidFill>
              <a:schemeClr val="lt1"/>
            </a:solidFill>
          </a:ln>
          <a:effectLst/>
          <a:sp3d contourW="25400">
            <a:contourClr>
              <a:schemeClr val="lt1"/>
            </a:contourClr>
          </a:sp3d>
        </c:spPr>
      </c:pivotFmt>
      <c:pivotFmt>
        <c:idx val="14"/>
        <c:spPr>
          <a:solidFill>
            <a:schemeClr val="accent3">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205019726132909E-2"/>
          <c:y val="0.20693412806074118"/>
          <c:w val="0.83358996054773427"/>
          <c:h val="0.6814878161775928"/>
        </c:manualLayout>
      </c:layout>
      <c:pie3DChart>
        <c:varyColors val="1"/>
        <c:ser>
          <c:idx val="0"/>
          <c:order val="0"/>
          <c:tx>
            <c:strRef>
              <c:f>'Pivot 4'!$B$3</c:f>
              <c:strCache>
                <c:ptCount val="1"/>
                <c:pt idx="0">
                  <c:v>Total</c:v>
                </c:pt>
              </c:strCache>
            </c:strRef>
          </c:tx>
          <c:dPt>
            <c:idx val="0"/>
            <c:bubble3D val="0"/>
            <c:spPr>
              <a:solidFill>
                <a:srgbClr val="66FFFF"/>
              </a:solidFill>
              <a:ln w="25400">
                <a:solidFill>
                  <a:schemeClr val="lt1"/>
                </a:solidFill>
              </a:ln>
              <a:effectLst/>
              <a:sp3d contourW="25400">
                <a:contourClr>
                  <a:schemeClr val="lt1"/>
                </a:contourClr>
              </a:sp3d>
            </c:spPr>
            <c:extLst>
              <c:ext xmlns:c16="http://schemas.microsoft.com/office/drawing/2014/chart" uri="{C3380CC4-5D6E-409C-BE32-E72D297353CC}">
                <c16:uniqueId val="{00000001-652B-45C6-B362-EC30656631DC}"/>
              </c:ext>
            </c:extLst>
          </c:dPt>
          <c:dPt>
            <c:idx val="1"/>
            <c:bubble3D val="0"/>
            <c:spPr>
              <a:solidFill>
                <a:srgbClr val="99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3-652B-45C6-B362-EC30656631DC}"/>
              </c:ext>
            </c:extLst>
          </c:dPt>
          <c:dPt>
            <c:idx val="2"/>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5-652B-45C6-B362-EC30656631DC}"/>
              </c:ext>
            </c:extLst>
          </c:dPt>
          <c:dPt>
            <c:idx val="3"/>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52B-45C6-B362-EC30656631D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_(* #,##0.00_);_(* \(#,##0.00\);_(* "-"??_);_(@_)</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652B-45C6-B362-EC30656631D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ysClr val="windowText" lastClr="000000"/>
                </a:solidFill>
              </a:rPr>
              <a:t>Total</a:t>
            </a:r>
            <a:r>
              <a:rPr lang="en-IN" b="1" i="1" u="sng" baseline="0">
                <a:solidFill>
                  <a:sysClr val="windowText" lastClr="000000"/>
                </a:solidFill>
              </a:rPr>
              <a:t> Production Cost by Product Type</a:t>
            </a:r>
            <a:endParaRPr lang="en-IN" b="1" i="1" u="sng">
              <a:solidFill>
                <a:sysClr val="windowText" lastClr="000000"/>
              </a:solidFill>
            </a:endParaRPr>
          </a:p>
        </c:rich>
      </c:tx>
      <c:layout>
        <c:manualLayout>
          <c:xMode val="edge"/>
          <c:yMode val="edge"/>
          <c:x val="0.28953942232630758"/>
          <c:y val="2.835538752362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73A7-41BF-9FE6-3BFAC8BB338C}"/>
            </c:ext>
          </c:extLst>
        </c:ser>
        <c:dLbls>
          <c:showLegendKey val="0"/>
          <c:showVal val="0"/>
          <c:showCatName val="0"/>
          <c:showSerName val="0"/>
          <c:showPercent val="0"/>
          <c:showBubbleSize val="0"/>
        </c:dLbls>
        <c:gapWidth val="150"/>
        <c:shape val="box"/>
        <c:axId val="1558199567"/>
        <c:axId val="1558187087"/>
        <c:axId val="0"/>
      </c:bar3DChart>
      <c:catAx>
        <c:axId val="1558199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58187087"/>
        <c:crosses val="autoZero"/>
        <c:auto val="1"/>
        <c:lblAlgn val="ctr"/>
        <c:lblOffset val="100"/>
        <c:noMultiLvlLbl val="0"/>
      </c:catAx>
      <c:valAx>
        <c:axId val="155818708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5819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ysClr val="windowText" lastClr="000000"/>
                </a:solidFill>
              </a:rPr>
              <a:t>Number</a:t>
            </a:r>
            <a:r>
              <a:rPr lang="en-IN" b="1" i="1" u="sng" baseline="0">
                <a:solidFill>
                  <a:sysClr val="windowText" lastClr="000000"/>
                </a:solidFill>
              </a:rPr>
              <a:t> of the Tasks by Manager</a:t>
            </a:r>
            <a:endParaRPr lang="en-IN"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5495-4504-BCD7-50E58787B964}"/>
            </c:ext>
          </c:extLst>
        </c:ser>
        <c:dLbls>
          <c:showLegendKey val="0"/>
          <c:showVal val="1"/>
          <c:showCatName val="0"/>
          <c:showSerName val="0"/>
          <c:showPercent val="0"/>
          <c:showBubbleSize val="0"/>
        </c:dLbls>
        <c:gapWidth val="150"/>
        <c:shape val="box"/>
        <c:axId val="1607188847"/>
        <c:axId val="1607200847"/>
        <c:axId val="0"/>
      </c:bar3DChart>
      <c:catAx>
        <c:axId val="1607188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07200847"/>
        <c:crosses val="autoZero"/>
        <c:auto val="1"/>
        <c:lblAlgn val="ctr"/>
        <c:lblOffset val="100"/>
        <c:noMultiLvlLbl val="0"/>
      </c:catAx>
      <c:valAx>
        <c:axId val="1607200847"/>
        <c:scaling>
          <c:orientation val="minMax"/>
        </c:scaling>
        <c:delete val="1"/>
        <c:axPos val="b"/>
        <c:numFmt formatCode="General" sourceLinked="1"/>
        <c:majorTickMark val="none"/>
        <c:minorTickMark val="none"/>
        <c:tickLblPos val="nextTo"/>
        <c:crossAx val="160718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a:sp3d/>
        </c:spPr>
        <c:dLbl>
          <c:idx val="0"/>
          <c:layout>
            <c:manualLayout>
              <c:x val="1.734304543877905E-3"/>
              <c:y val="-5.2910052910052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bg1">
                <a:lumMod val="50000"/>
              </a:schemeClr>
            </a:solidFill>
            <a:ln>
              <a:noFill/>
            </a:ln>
            <a:effectLst/>
            <a:sp3d/>
          </c:spPr>
          <c:dPt>
            <c:idx val="5"/>
            <c:bubble3D val="0"/>
            <c:extLst>
              <c:ext xmlns:c16="http://schemas.microsoft.com/office/drawing/2014/chart" uri="{C3380CC4-5D6E-409C-BE32-E72D297353CC}">
                <c16:uniqueId val="{00000003-B42C-4098-82B4-25D8D7C4D0E7}"/>
              </c:ext>
            </c:extLst>
          </c:dPt>
          <c:dPt>
            <c:idx val="7"/>
            <c:bubble3D val="0"/>
            <c:extLst>
              <c:ext xmlns:c16="http://schemas.microsoft.com/office/drawing/2014/chart" uri="{C3380CC4-5D6E-409C-BE32-E72D297353CC}">
                <c16:uniqueId val="{00000002-B42C-4098-82B4-25D8D7C4D0E7}"/>
              </c:ext>
            </c:extLst>
          </c:dPt>
          <c:dLbls>
            <c:dLbl>
              <c:idx val="7"/>
              <c:layout>
                <c:manualLayout>
                  <c:x val="1.734304543877905E-3"/>
                  <c:y val="-5.291005291005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2C-4098-82B4-25D8D7C4D0E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B42C-4098-82B4-25D8D7C4D0E7}"/>
            </c:ext>
          </c:extLst>
        </c:ser>
        <c:dLbls>
          <c:showLegendKey val="0"/>
          <c:showVal val="1"/>
          <c:showCatName val="0"/>
          <c:showSerName val="0"/>
          <c:showPercent val="0"/>
          <c:showBubbleSize val="0"/>
        </c:dLbls>
        <c:axId val="2045761519"/>
        <c:axId val="2045761999"/>
        <c:axId val="1940415471"/>
      </c:line3DChart>
      <c:catAx>
        <c:axId val="2045761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45761999"/>
        <c:crosses val="autoZero"/>
        <c:auto val="1"/>
        <c:lblAlgn val="ctr"/>
        <c:lblOffset val="100"/>
        <c:noMultiLvlLbl val="0"/>
      </c:catAx>
      <c:valAx>
        <c:axId val="2045761999"/>
        <c:scaling>
          <c:orientation val="minMax"/>
        </c:scaling>
        <c:delete val="1"/>
        <c:axPos val="l"/>
        <c:numFmt formatCode="General" sourceLinked="1"/>
        <c:majorTickMark val="none"/>
        <c:minorTickMark val="none"/>
        <c:tickLblPos val="nextTo"/>
        <c:crossAx val="2045761519"/>
        <c:crosses val="autoZero"/>
        <c:crossBetween val="between"/>
      </c:valAx>
      <c:serAx>
        <c:axId val="1940415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619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ysClr val="windowText" lastClr="000000"/>
                </a:solidFill>
              </a:rPr>
              <a:t>Average</a:t>
            </a:r>
            <a:r>
              <a:rPr lang="en-IN" b="1" i="1" u="sng" baseline="0">
                <a:solidFill>
                  <a:sysClr val="windowText" lastClr="000000"/>
                </a:solidFill>
              </a:rPr>
              <a:t> Production Cost Per Unit by Product Type</a:t>
            </a:r>
            <a:endParaRPr lang="en-IN"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99FF66"/>
          </a:solidFill>
          <a:ln w="25400">
            <a:solidFill>
              <a:schemeClr val="lt1"/>
            </a:solidFill>
          </a:ln>
          <a:effectLst/>
          <a:sp3d contourW="25400">
            <a:contourClr>
              <a:schemeClr val="lt1"/>
            </a:contourClr>
          </a:sp3d>
        </c:spPr>
      </c:pivotFmt>
      <c:pivotFmt>
        <c:idx val="4"/>
        <c:spPr>
          <a:solidFill>
            <a:srgbClr val="66FF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66FFFF"/>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5C-4291-9924-B58AA017B319}"/>
              </c:ext>
            </c:extLst>
          </c:dPt>
          <c:dPt>
            <c:idx val="1"/>
            <c:bubble3D val="0"/>
            <c:spPr>
              <a:solidFill>
                <a:srgbClr val="99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4-925C-4291-9924-B58AA017B319}"/>
              </c:ext>
            </c:extLst>
          </c:dPt>
          <c:dPt>
            <c:idx val="2"/>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5C-4291-9924-B58AA017B319}"/>
              </c:ext>
            </c:extLst>
          </c:dPt>
          <c:dPt>
            <c:idx val="3"/>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925C-4291-9924-B58AA017B3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_(* #,##0.00_);_(* \(#,##0.00\);_(* "-"??_);_(@_)</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925C-4291-9924-B58AA017B31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73742</xdr:colOff>
      <xdr:row>20</xdr:row>
      <xdr:rowOff>3195</xdr:rowOff>
    </xdr:from>
    <xdr:to>
      <xdr:col>16</xdr:col>
      <xdr:colOff>73742</xdr:colOff>
      <xdr:row>42</xdr:row>
      <xdr:rowOff>19910</xdr:rowOff>
    </xdr:to>
    <xdr:graphicFrame macro="">
      <xdr:nvGraphicFramePr>
        <xdr:cNvPr id="2" name="Chart 1">
          <a:extLst>
            <a:ext uri="{FF2B5EF4-FFF2-40B4-BE49-F238E27FC236}">
              <a16:creationId xmlns:a16="http://schemas.microsoft.com/office/drawing/2014/main" id="{74573850-F881-4AC7-A3CF-48EE935E0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536104</xdr:colOff>
      <xdr:row>20</xdr:row>
      <xdr:rowOff>32201</xdr:rowOff>
    </xdr:from>
    <xdr:to>
      <xdr:col>27</xdr:col>
      <xdr:colOff>528485</xdr:colOff>
      <xdr:row>42</xdr:row>
      <xdr:rowOff>7866</xdr:rowOff>
    </xdr:to>
    <xdr:graphicFrame macro="">
      <xdr:nvGraphicFramePr>
        <xdr:cNvPr id="3" name="Chart 2">
          <a:extLst>
            <a:ext uri="{FF2B5EF4-FFF2-40B4-BE49-F238E27FC236}">
              <a16:creationId xmlns:a16="http://schemas.microsoft.com/office/drawing/2014/main" id="{2E005752-E5A9-4E83-BB61-717DA6028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73742</xdr:colOff>
      <xdr:row>43</xdr:row>
      <xdr:rowOff>24581</xdr:rowOff>
    </xdr:from>
    <xdr:to>
      <xdr:col>16</xdr:col>
      <xdr:colOff>73742</xdr:colOff>
      <xdr:row>59</xdr:row>
      <xdr:rowOff>44738</xdr:rowOff>
    </xdr:to>
    <xdr:graphicFrame macro="">
      <xdr:nvGraphicFramePr>
        <xdr:cNvPr id="4" name="Chart 3">
          <a:extLst>
            <a:ext uri="{FF2B5EF4-FFF2-40B4-BE49-F238E27FC236}">
              <a16:creationId xmlns:a16="http://schemas.microsoft.com/office/drawing/2014/main" id="{7B873A06-E08C-4194-96F6-E0D5F9AD4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540774</xdr:colOff>
      <xdr:row>43</xdr:row>
      <xdr:rowOff>36871</xdr:rowOff>
    </xdr:from>
    <xdr:to>
      <xdr:col>27</xdr:col>
      <xdr:colOff>540528</xdr:colOff>
      <xdr:row>59</xdr:row>
      <xdr:rowOff>49161</xdr:rowOff>
    </xdr:to>
    <xdr:graphicFrame macro="">
      <xdr:nvGraphicFramePr>
        <xdr:cNvPr id="5" name="Chart 4">
          <a:extLst>
            <a:ext uri="{FF2B5EF4-FFF2-40B4-BE49-F238E27FC236}">
              <a16:creationId xmlns:a16="http://schemas.microsoft.com/office/drawing/2014/main" id="{40CC5547-359E-4696-88FE-82FC84C09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81362</xdr:colOff>
      <xdr:row>9</xdr:row>
      <xdr:rowOff>7620</xdr:rowOff>
    </xdr:from>
    <xdr:to>
      <xdr:col>4</xdr:col>
      <xdr:colOff>81362</xdr:colOff>
      <xdr:row>19</xdr:row>
      <xdr:rowOff>15240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2F703B6-4133-78F6-A52E-655B34C9E6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0962" y="1628602"/>
              <a:ext cx="1828800" cy="1808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9</xdr:row>
      <xdr:rowOff>1</xdr:rowOff>
    </xdr:from>
    <xdr:to>
      <xdr:col>11</xdr:col>
      <xdr:colOff>472440</xdr:colOff>
      <xdr:row>18</xdr:row>
      <xdr:rowOff>167641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E8B9A583-EBE6-D7C1-A656-A7B1869A43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73329" y="1474840"/>
              <a:ext cx="1858788" cy="1826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528483</xdr:colOff>
      <xdr:row>9</xdr:row>
      <xdr:rowOff>15486</xdr:rowOff>
    </xdr:from>
    <xdr:to>
      <xdr:col>27</xdr:col>
      <xdr:colOff>528484</xdr:colOff>
      <xdr:row>19</xdr:row>
      <xdr:rowOff>24581</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E2C81302-E4CE-BEE4-FB2B-B5C305E73019}"/>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5158883" y="1636468"/>
              <a:ext cx="1828801" cy="1810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9</xdr:row>
      <xdr:rowOff>15240</xdr:rowOff>
    </xdr:from>
    <xdr:to>
      <xdr:col>20</xdr:col>
      <xdr:colOff>15240</xdr:colOff>
      <xdr:row>19</xdr:row>
      <xdr:rowOff>7620</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BD48732B-B4ED-0260-1BD1-D458C66C624F}"/>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9946558" y="1490079"/>
              <a:ext cx="2359005" cy="1835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45720</xdr:colOff>
      <xdr:row>10</xdr:row>
      <xdr:rowOff>100289</xdr:rowOff>
    </xdr:from>
    <xdr:to>
      <xdr:col>15</xdr:col>
      <xdr:colOff>556260</xdr:colOff>
      <xdr:row>17</xdr:row>
      <xdr:rowOff>135194</xdr:rowOff>
    </xdr:to>
    <xdr:sp macro="" textlink="'Pivot 5'!A4:B4">
      <xdr:nvSpPr>
        <xdr:cNvPr id="10" name="TextBox 9">
          <a:extLst>
            <a:ext uri="{FF2B5EF4-FFF2-40B4-BE49-F238E27FC236}">
              <a16:creationId xmlns:a16="http://schemas.microsoft.com/office/drawing/2014/main" id="{3129ABE4-CA41-880A-8911-FF72F8B211C5}"/>
            </a:ext>
          </a:extLst>
        </xdr:cNvPr>
        <xdr:cNvSpPr txBox="1"/>
      </xdr:nvSpPr>
      <xdr:spPr>
        <a:xfrm>
          <a:off x="7419914" y="1943837"/>
          <a:ext cx="2354088" cy="1325389"/>
        </a:xfrm>
        <a:prstGeom prst="rect">
          <a:avLst/>
        </a:prstGeom>
        <a:solidFill>
          <a:srgbClr val="99FF66"/>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2000" b="1" i="1" u="none" strike="noStrike">
              <a:solidFill>
                <a:srgbClr val="000000"/>
              </a:solidFill>
              <a:effectLst>
                <a:glow rad="101600">
                  <a:schemeClr val="accent1">
                    <a:lumMod val="60000"/>
                    <a:lumOff val="40000"/>
                    <a:alpha val="60000"/>
                  </a:schemeClr>
                </a:glow>
              </a:effectLst>
              <a:latin typeface="Calibri"/>
              <a:ea typeface="Calibri"/>
              <a:cs typeface="Calibri"/>
            </a:rPr>
            <a:t>TOP MANAGER:</a:t>
          </a:r>
        </a:p>
        <a:p>
          <a:pPr algn="ctr"/>
          <a:endParaRPr lang="en-US" sz="2000" b="1" i="1" u="none" strike="noStrike">
            <a:solidFill>
              <a:srgbClr val="000000"/>
            </a:solidFill>
            <a:effectLst>
              <a:glow rad="101600">
                <a:schemeClr val="accent1">
                  <a:lumMod val="60000"/>
                  <a:lumOff val="40000"/>
                  <a:alpha val="60000"/>
                </a:schemeClr>
              </a:glow>
            </a:effectLst>
            <a:latin typeface="Calibri"/>
            <a:ea typeface="Calibri"/>
            <a:cs typeface="Calibri"/>
          </a:endParaRPr>
        </a:p>
        <a:p>
          <a:pPr algn="ctr"/>
          <a:fld id="{6EED5F92-3804-4769-BA06-0B374D9D7EC1}" type="TxLink">
            <a:rPr lang="en-US" sz="2800" b="1" i="1" u="none" strike="noStrike">
              <a:solidFill>
                <a:srgbClr val="000000"/>
              </a:solidFill>
              <a:effectLst>
                <a:glow rad="101600">
                  <a:schemeClr val="accent1">
                    <a:lumMod val="60000"/>
                    <a:lumOff val="40000"/>
                    <a:alpha val="60000"/>
                  </a:schemeClr>
                </a:glow>
              </a:effectLst>
              <a:latin typeface="Trebuchet MS" panose="020B0603020202020204" pitchFamily="34" charset="0"/>
              <a:ea typeface="Calibri"/>
              <a:cs typeface="Calibri"/>
            </a:rPr>
            <a:pPr algn="ctr"/>
            <a:t>Nancy Grey</a:t>
          </a:fld>
          <a:endParaRPr lang="en-IN" sz="2800" b="1" i="1" u="none">
            <a:solidFill>
              <a:srgbClr val="003300"/>
            </a:solidFill>
            <a:effectLst>
              <a:glow rad="101600">
                <a:schemeClr val="accent1">
                  <a:lumMod val="60000"/>
                  <a:lumOff val="40000"/>
                  <a:alpha val="60000"/>
                </a:schemeClr>
              </a:glow>
            </a:effectLst>
            <a:latin typeface="Trebuchet MS" panose="020B0603020202020204" pitchFamily="34" charset="0"/>
          </a:endParaRPr>
        </a:p>
      </xdr:txBody>
    </xdr:sp>
    <xdr:clientData/>
  </xdr:twoCellAnchor>
  <xdr:twoCellAnchor>
    <xdr:from>
      <xdr:col>12</xdr:col>
      <xdr:colOff>30480</xdr:colOff>
      <xdr:row>10</xdr:row>
      <xdr:rowOff>121920</xdr:rowOff>
    </xdr:from>
    <xdr:to>
      <xdr:col>15</xdr:col>
      <xdr:colOff>541020</xdr:colOff>
      <xdr:row>17</xdr:row>
      <xdr:rowOff>147484</xdr:rowOff>
    </xdr:to>
    <xdr:sp macro="" textlink="">
      <xdr:nvSpPr>
        <xdr:cNvPr id="11" name="Rectangle 10">
          <a:extLst>
            <a:ext uri="{FF2B5EF4-FFF2-40B4-BE49-F238E27FC236}">
              <a16:creationId xmlns:a16="http://schemas.microsoft.com/office/drawing/2014/main" id="{145618E7-B11C-4FE6-1E13-DF1EE65E6B9B}"/>
            </a:ext>
          </a:extLst>
        </xdr:cNvPr>
        <xdr:cNvSpPr/>
      </xdr:nvSpPr>
      <xdr:spPr>
        <a:xfrm>
          <a:off x="7404674" y="1965468"/>
          <a:ext cx="2354088" cy="1316048"/>
        </a:xfrm>
        <a:prstGeom prst="rect">
          <a:avLst/>
        </a:prstGeom>
        <a:noFill/>
        <a:ln w="38100">
          <a:solidFill>
            <a:sysClr val="windowText" lastClr="000000"/>
          </a:solidFill>
          <a:prstDash val="soli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144425</xdr:colOff>
      <xdr:row>10</xdr:row>
      <xdr:rowOff>98326</xdr:rowOff>
    </xdr:from>
    <xdr:to>
      <xdr:col>8</xdr:col>
      <xdr:colOff>344620</xdr:colOff>
      <xdr:row>16</xdr:row>
      <xdr:rowOff>61453</xdr:rowOff>
    </xdr:to>
    <xdr:sp macro="" textlink="'Pivot 6'!A4">
      <xdr:nvSpPr>
        <xdr:cNvPr id="12" name="Rectangle: Rounded Corners 11">
          <a:extLst>
            <a:ext uri="{FF2B5EF4-FFF2-40B4-BE49-F238E27FC236}">
              <a16:creationId xmlns:a16="http://schemas.microsoft.com/office/drawing/2014/main" id="{BD8C8B98-5DEC-627A-D501-95FC6B6FD0BF}"/>
            </a:ext>
          </a:extLst>
        </xdr:cNvPr>
        <xdr:cNvSpPr/>
      </xdr:nvSpPr>
      <xdr:spPr>
        <a:xfrm>
          <a:off x="2602490" y="1941874"/>
          <a:ext cx="2658259" cy="1069256"/>
        </a:xfrm>
        <a:prstGeom prst="round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EF5964B-1456-4FCA-9EC0-738FB035AE1E}" type="TxLink">
            <a:rPr lang="en-US" sz="2400" b="1" i="0" u="none" strike="noStrike">
              <a:solidFill>
                <a:srgbClr val="000000"/>
              </a:solidFill>
              <a:latin typeface="Calibri"/>
              <a:ea typeface="Calibri"/>
              <a:cs typeface="Calibri"/>
            </a:rPr>
            <a:pPr marL="0" indent="0" algn="ctr"/>
            <a:t> 34,727 </a:t>
          </a:fld>
          <a:endParaRPr lang="en-US" sz="2400" b="1" i="0" u="none" strike="noStrike">
            <a:solidFill>
              <a:srgbClr val="000000"/>
            </a:solidFill>
            <a:latin typeface="Calibri"/>
            <a:ea typeface="Calibri"/>
            <a:cs typeface="Calibri"/>
          </a:endParaRPr>
        </a:p>
        <a:p>
          <a:pPr marL="0" indent="0" algn="ctr"/>
          <a:r>
            <a:rPr lang="en-US" sz="2000" b="1" i="0" u="none" strike="noStrike">
              <a:solidFill>
                <a:srgbClr val="000000"/>
              </a:solidFill>
              <a:latin typeface="Calibri"/>
              <a:ea typeface="Calibri"/>
              <a:cs typeface="Calibri"/>
            </a:rPr>
            <a:t>Total Units Produced</a:t>
          </a:r>
          <a:endParaRPr lang="en-IN" sz="2000" b="1" i="0" u="none" strike="noStrike">
            <a:solidFill>
              <a:srgbClr val="000000"/>
            </a:solidFill>
            <a:latin typeface="Calibri"/>
            <a:ea typeface="Calibri"/>
            <a:cs typeface="Calibri"/>
          </a:endParaRPr>
        </a:p>
      </xdr:txBody>
    </xdr:sp>
    <xdr:clientData/>
  </xdr:twoCellAnchor>
  <xdr:twoCellAnchor>
    <xdr:from>
      <xdr:col>20</xdr:col>
      <xdr:colOff>104839</xdr:colOff>
      <xdr:row>10</xdr:row>
      <xdr:rowOff>159773</xdr:rowOff>
    </xdr:from>
    <xdr:to>
      <xdr:col>24</xdr:col>
      <xdr:colOff>344128</xdr:colOff>
      <xdr:row>16</xdr:row>
      <xdr:rowOff>110613</xdr:rowOff>
    </xdr:to>
    <xdr:sp macro="" textlink="'Pivot 6'!B4">
      <xdr:nvSpPr>
        <xdr:cNvPr id="13" name="Rectangle: Rounded Corners 12">
          <a:extLst>
            <a:ext uri="{FF2B5EF4-FFF2-40B4-BE49-F238E27FC236}">
              <a16:creationId xmlns:a16="http://schemas.microsoft.com/office/drawing/2014/main" id="{AB83F350-7BC0-4693-153D-3EE1682CBF60}"/>
            </a:ext>
          </a:extLst>
        </xdr:cNvPr>
        <xdr:cNvSpPr/>
      </xdr:nvSpPr>
      <xdr:spPr>
        <a:xfrm>
          <a:off x="12395162" y="2003321"/>
          <a:ext cx="2697353" cy="1056969"/>
        </a:xfrm>
        <a:prstGeom prst="round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C4A24DA-5093-4EB3-B472-92F950D753ED}" type="TxLink">
            <a:rPr lang="en-US" sz="2400" b="1" i="0" u="none" strike="noStrike">
              <a:solidFill>
                <a:srgbClr val="000000"/>
              </a:solidFill>
              <a:latin typeface="Calibri"/>
              <a:ea typeface="Calibri"/>
              <a:cs typeface="Calibri"/>
            </a:rPr>
            <a:pPr marL="0" indent="0" algn="ctr"/>
            <a:t> 33,71,078 </a:t>
          </a:fld>
          <a:endParaRPr lang="en-US" sz="2400" b="1" i="0" u="none" strike="noStrike">
            <a:solidFill>
              <a:srgbClr val="000000"/>
            </a:solidFill>
            <a:latin typeface="Calibri"/>
            <a:ea typeface="Calibri"/>
            <a:cs typeface="Calibri"/>
          </a:endParaRPr>
        </a:p>
        <a:p>
          <a:pPr marL="0" indent="0" algn="ctr"/>
          <a:r>
            <a:rPr lang="en-US" sz="2000" b="1" i="0" u="none" strike="noStrike">
              <a:solidFill>
                <a:srgbClr val="000000"/>
              </a:solidFill>
              <a:latin typeface="Calibri"/>
              <a:ea typeface="Calibri"/>
              <a:cs typeface="Calibri"/>
            </a:rPr>
            <a:t>Total Production Cost</a:t>
          </a:r>
          <a:endParaRPr lang="en-IN" sz="2000" b="1" i="0" u="none" strike="noStrike">
            <a:solidFill>
              <a:srgbClr val="000000"/>
            </a:solidFill>
            <a:latin typeface="Calibri"/>
            <a:ea typeface="Calibri"/>
            <a:cs typeface="Calibri"/>
          </a:endParaRPr>
        </a:p>
      </xdr:txBody>
    </xdr:sp>
    <xdr:clientData/>
  </xdr:twoCellAnchor>
  <xdr:twoCellAnchor>
    <xdr:from>
      <xdr:col>1</xdr:col>
      <xdr:colOff>1</xdr:colOff>
      <xdr:row>1</xdr:row>
      <xdr:rowOff>0</xdr:rowOff>
    </xdr:from>
    <xdr:to>
      <xdr:col>28</xdr:col>
      <xdr:colOff>12290</xdr:colOff>
      <xdr:row>59</xdr:row>
      <xdr:rowOff>172064</xdr:rowOff>
    </xdr:to>
    <xdr:sp macro="" textlink="">
      <xdr:nvSpPr>
        <xdr:cNvPr id="14" name="Rectangle 13">
          <a:extLst>
            <a:ext uri="{FF2B5EF4-FFF2-40B4-BE49-F238E27FC236}">
              <a16:creationId xmlns:a16="http://schemas.microsoft.com/office/drawing/2014/main" id="{E1375E37-A450-536F-1D80-2D0BB41B8842}"/>
            </a:ext>
          </a:extLst>
        </xdr:cNvPr>
        <xdr:cNvSpPr/>
      </xdr:nvSpPr>
      <xdr:spPr>
        <a:xfrm>
          <a:off x="614517" y="0"/>
          <a:ext cx="16604225" cy="10864645"/>
        </a:xfrm>
        <a:prstGeom prst="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320040</xdr:colOff>
      <xdr:row>2</xdr:row>
      <xdr:rowOff>0</xdr:rowOff>
    </xdr:from>
    <xdr:to>
      <xdr:col>13</xdr:col>
      <xdr:colOff>121920</xdr:colOff>
      <xdr:row>24</xdr:row>
      <xdr:rowOff>7620</xdr:rowOff>
    </xdr:to>
    <xdr:graphicFrame macro="">
      <xdr:nvGraphicFramePr>
        <xdr:cNvPr id="2" name="Chart 1">
          <a:extLst>
            <a:ext uri="{FF2B5EF4-FFF2-40B4-BE49-F238E27FC236}">
              <a16:creationId xmlns:a16="http://schemas.microsoft.com/office/drawing/2014/main" id="{1233D054-C534-C0AE-791C-D713AED5C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175260</xdr:rowOff>
    </xdr:from>
    <xdr:to>
      <xdr:col>13</xdr:col>
      <xdr:colOff>548640</xdr:colOff>
      <xdr:row>22</xdr:row>
      <xdr:rowOff>22860</xdr:rowOff>
    </xdr:to>
    <xdr:graphicFrame macro="">
      <xdr:nvGraphicFramePr>
        <xdr:cNvPr id="2" name="Chart 1">
          <a:extLst>
            <a:ext uri="{FF2B5EF4-FFF2-40B4-BE49-F238E27FC236}">
              <a16:creationId xmlns:a16="http://schemas.microsoft.com/office/drawing/2014/main" id="{0BA1F215-5099-2B42-1AE1-FC4E930A5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15240</xdr:rowOff>
    </xdr:from>
    <xdr:to>
      <xdr:col>15</xdr:col>
      <xdr:colOff>7620</xdr:colOff>
      <xdr:row>23</xdr:row>
      <xdr:rowOff>15240</xdr:rowOff>
    </xdr:to>
    <xdr:graphicFrame macro="">
      <xdr:nvGraphicFramePr>
        <xdr:cNvPr id="2" name="Chart 1">
          <a:extLst>
            <a:ext uri="{FF2B5EF4-FFF2-40B4-BE49-F238E27FC236}">
              <a16:creationId xmlns:a16="http://schemas.microsoft.com/office/drawing/2014/main" id="{E735903A-5DA9-6F2D-4823-3D07330C0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179070</xdr:rowOff>
    </xdr:from>
    <xdr:to>
      <xdr:col>11</xdr:col>
      <xdr:colOff>594360</xdr:colOff>
      <xdr:row>22</xdr:row>
      <xdr:rowOff>30480</xdr:rowOff>
    </xdr:to>
    <xdr:graphicFrame macro="">
      <xdr:nvGraphicFramePr>
        <xdr:cNvPr id="2" name="Chart 1">
          <a:extLst>
            <a:ext uri="{FF2B5EF4-FFF2-40B4-BE49-F238E27FC236}">
              <a16:creationId xmlns:a16="http://schemas.microsoft.com/office/drawing/2014/main" id="{AEC95CCB-6216-28F3-C287-82BB56223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2.737626620372" createdVersion="8" refreshedVersion="8" minRefreshableVersion="3" recordCount="120" xr:uid="{3756A72D-4A4D-4E7C-9F06-986C597402E6}">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ount="111">
        <n v="412"/>
        <n v="430"/>
        <n v="478"/>
        <n v="459"/>
        <n v="178"/>
        <n v="401"/>
        <n v="68"/>
        <n v="447"/>
        <n v="55"/>
        <n v="396"/>
        <n v="494"/>
        <n v="462"/>
        <n v="435"/>
        <n v="332"/>
        <n v="383"/>
        <n v="193"/>
        <n v="240"/>
        <n v="363"/>
        <n v="443"/>
        <n v="331"/>
        <n v="250"/>
        <n v="180"/>
        <n v="90"/>
        <n v="458"/>
        <n v="439"/>
        <n v="406"/>
        <n v="422"/>
        <n v="444"/>
        <n v="499"/>
        <n v="290"/>
        <n v="369"/>
        <n v="389"/>
        <n v="511"/>
        <n v="333"/>
        <n v="260"/>
        <n v="460"/>
        <n v="145"/>
        <n v="115"/>
        <n v="248"/>
        <n v="165"/>
        <n v="51"/>
        <n v="382"/>
        <n v="354"/>
        <n v="368"/>
        <n v="79"/>
        <n v="231"/>
        <n v="288"/>
        <n v="214"/>
        <n v="74"/>
        <n v="177"/>
        <n v="358"/>
        <n v="343"/>
        <n v="63"/>
        <n v="429"/>
        <n v="491"/>
        <n v="344"/>
        <n v="255"/>
        <n v="160"/>
        <n v="322"/>
        <n v="151"/>
        <n v="535"/>
        <n v="305"/>
        <n v="188"/>
        <n v="495"/>
        <n v="190"/>
        <n v="308"/>
        <n v="183"/>
        <n v="335"/>
        <n v="95"/>
        <n v="218"/>
        <n v="265"/>
        <n v="213"/>
        <n v="128"/>
        <n v="208"/>
        <n v="465"/>
        <n v="519"/>
        <n v="380"/>
        <n v="32"/>
        <n v="130"/>
        <n v="545"/>
        <n v="84"/>
        <n v="192"/>
        <n v="60"/>
        <n v="209"/>
        <n v="264"/>
        <n v="97"/>
        <n v="404"/>
        <n v="386"/>
        <n v="366"/>
        <n v="173"/>
        <n v="306"/>
        <n v="222"/>
        <n v="216"/>
        <n v="307"/>
        <n v="384"/>
        <n v="376"/>
        <n v="359"/>
        <n v="318"/>
        <n v="236"/>
        <n v="86"/>
        <n v="155"/>
        <n v="319"/>
        <n v="62"/>
        <n v="81"/>
        <n v="126"/>
        <n v="541"/>
        <n v="666"/>
        <n v="527"/>
        <n v="289"/>
        <n v="199"/>
        <n v="497"/>
      </sharedItems>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 numFmtId="164">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129216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x v="0"/>
    <n v="22288"/>
    <x v="0"/>
    <n v="25"/>
    <x v="0"/>
    <n v="54.097087378640779"/>
  </r>
  <r>
    <n v="2"/>
    <x v="1"/>
    <x v="1"/>
    <x v="1"/>
    <x v="1"/>
    <x v="1"/>
    <n v="66500"/>
    <x v="0"/>
    <n v="52"/>
    <x v="1"/>
    <n v="154.65116279069767"/>
  </r>
  <r>
    <n v="3"/>
    <x v="2"/>
    <x v="2"/>
    <x v="2"/>
    <x v="2"/>
    <x v="2"/>
    <n v="76076"/>
    <x v="1"/>
    <n v="36"/>
    <x v="2"/>
    <n v="159.15481171548117"/>
  </r>
  <r>
    <n v="4"/>
    <x v="3"/>
    <x v="1"/>
    <x v="3"/>
    <x v="2"/>
    <x v="3"/>
    <n v="17069"/>
    <x v="2"/>
    <n v="57"/>
    <x v="1"/>
    <n v="37.187363834422655"/>
  </r>
  <r>
    <n v="5"/>
    <x v="4"/>
    <x v="0"/>
    <x v="4"/>
    <x v="2"/>
    <x v="4"/>
    <n v="41349"/>
    <x v="1"/>
    <n v="26"/>
    <x v="0"/>
    <n v="232.29775280898878"/>
  </r>
  <r>
    <n v="6"/>
    <x v="5"/>
    <x v="1"/>
    <x v="4"/>
    <x v="2"/>
    <x v="5"/>
    <n v="19691"/>
    <x v="1"/>
    <n v="26"/>
    <x v="0"/>
    <n v="49.104738154613464"/>
  </r>
  <r>
    <n v="7"/>
    <x v="6"/>
    <x v="1"/>
    <x v="5"/>
    <x v="2"/>
    <x v="6"/>
    <n v="11696"/>
    <x v="1"/>
    <n v="28"/>
    <x v="0"/>
    <n v="172"/>
  </r>
  <r>
    <n v="8"/>
    <x v="7"/>
    <x v="1"/>
    <x v="6"/>
    <x v="3"/>
    <x v="7"/>
    <n v="52269"/>
    <x v="1"/>
    <n v="28"/>
    <x v="0"/>
    <n v="116.93288590604027"/>
  </r>
  <r>
    <n v="9"/>
    <x v="8"/>
    <x v="1"/>
    <x v="7"/>
    <x v="3"/>
    <x v="8"/>
    <n v="25893"/>
    <x v="1"/>
    <n v="42"/>
    <x v="2"/>
    <n v="470.78181818181821"/>
  </r>
  <r>
    <n v="10"/>
    <x v="9"/>
    <x v="1"/>
    <x v="7"/>
    <x v="0"/>
    <x v="9"/>
    <n v="38480"/>
    <x v="0"/>
    <n v="42"/>
    <x v="2"/>
    <n v="97.171717171717177"/>
  </r>
  <r>
    <n v="11"/>
    <x v="10"/>
    <x v="1"/>
    <x v="8"/>
    <x v="2"/>
    <x v="10"/>
    <n v="46767"/>
    <x v="0"/>
    <n v="25"/>
    <x v="0"/>
    <n v="94.670040485829958"/>
  </r>
  <r>
    <n v="12"/>
    <x v="11"/>
    <x v="1"/>
    <x v="8"/>
    <x v="0"/>
    <x v="11"/>
    <n v="26145"/>
    <x v="2"/>
    <n v="25"/>
    <x v="0"/>
    <n v="56.590909090909093"/>
  </r>
  <r>
    <n v="13"/>
    <x v="6"/>
    <x v="2"/>
    <x v="0"/>
    <x v="3"/>
    <x v="12"/>
    <n v="64090"/>
    <x v="0"/>
    <n v="25"/>
    <x v="0"/>
    <n v="147.33333333333334"/>
  </r>
  <r>
    <n v="14"/>
    <x v="12"/>
    <x v="0"/>
    <x v="4"/>
    <x v="0"/>
    <x v="13"/>
    <n v="679"/>
    <x v="0"/>
    <n v="26"/>
    <x v="0"/>
    <n v="2.0451807228915664"/>
  </r>
  <r>
    <n v="15"/>
    <x v="13"/>
    <x v="2"/>
    <x v="7"/>
    <x v="0"/>
    <x v="14"/>
    <n v="39008"/>
    <x v="2"/>
    <n v="42"/>
    <x v="2"/>
    <n v="101.8485639686684"/>
  </r>
  <r>
    <n v="16"/>
    <x v="14"/>
    <x v="2"/>
    <x v="4"/>
    <x v="1"/>
    <x v="15"/>
    <n v="18796"/>
    <x v="1"/>
    <n v="26"/>
    <x v="0"/>
    <n v="97.388601036269435"/>
  </r>
  <r>
    <n v="17"/>
    <x v="15"/>
    <x v="1"/>
    <x v="7"/>
    <x v="2"/>
    <x v="16"/>
    <n v="65052"/>
    <x v="0"/>
    <n v="42"/>
    <x v="2"/>
    <n v="271.05"/>
  </r>
  <r>
    <n v="18"/>
    <x v="16"/>
    <x v="1"/>
    <x v="9"/>
    <x v="0"/>
    <x v="17"/>
    <n v="38232"/>
    <x v="0"/>
    <n v="49"/>
    <x v="1"/>
    <n v="105.32231404958678"/>
  </r>
  <r>
    <n v="19"/>
    <x v="17"/>
    <x v="1"/>
    <x v="9"/>
    <x v="0"/>
    <x v="18"/>
    <n v="50652"/>
    <x v="1"/>
    <n v="49"/>
    <x v="1"/>
    <n v="114.33860045146727"/>
  </r>
  <r>
    <n v="20"/>
    <x v="18"/>
    <x v="1"/>
    <x v="7"/>
    <x v="3"/>
    <x v="19"/>
    <n v="27140"/>
    <x v="1"/>
    <n v="42"/>
    <x v="2"/>
    <n v="81.993957703927492"/>
  </r>
  <r>
    <n v="21"/>
    <x v="19"/>
    <x v="0"/>
    <x v="7"/>
    <x v="2"/>
    <x v="20"/>
    <n v="11385"/>
    <x v="1"/>
    <n v="42"/>
    <x v="2"/>
    <n v="45.54"/>
  </r>
  <r>
    <n v="22"/>
    <x v="20"/>
    <x v="1"/>
    <x v="9"/>
    <x v="2"/>
    <x v="21"/>
    <n v="33684"/>
    <x v="0"/>
    <n v="49"/>
    <x v="1"/>
    <n v="187.13333333333333"/>
  </r>
  <r>
    <n v="23"/>
    <x v="21"/>
    <x v="2"/>
    <x v="5"/>
    <x v="0"/>
    <x v="22"/>
    <n v="42328"/>
    <x v="0"/>
    <n v="28"/>
    <x v="0"/>
    <n v="470.31111111111113"/>
  </r>
  <r>
    <n v="24"/>
    <x v="22"/>
    <x v="0"/>
    <x v="3"/>
    <x v="2"/>
    <x v="23"/>
    <n v="42873"/>
    <x v="0"/>
    <n v="57"/>
    <x v="1"/>
    <n v="93.609170305676855"/>
  </r>
  <r>
    <n v="25"/>
    <x v="23"/>
    <x v="1"/>
    <x v="4"/>
    <x v="0"/>
    <x v="24"/>
    <n v="31392"/>
    <x v="1"/>
    <n v="26"/>
    <x v="0"/>
    <n v="71.50797266514806"/>
  </r>
  <r>
    <n v="26"/>
    <x v="24"/>
    <x v="1"/>
    <x v="7"/>
    <x v="0"/>
    <x v="25"/>
    <n v="47880"/>
    <x v="1"/>
    <n v="42"/>
    <x v="2"/>
    <n v="117.93103448275862"/>
  </r>
  <r>
    <n v="27"/>
    <x v="25"/>
    <x v="1"/>
    <x v="7"/>
    <x v="3"/>
    <x v="26"/>
    <n v="13490"/>
    <x v="0"/>
    <n v="42"/>
    <x v="2"/>
    <n v="31.966824644549764"/>
  </r>
  <r>
    <n v="28"/>
    <x v="26"/>
    <x v="1"/>
    <x v="3"/>
    <x v="0"/>
    <x v="27"/>
    <n v="7272"/>
    <x v="1"/>
    <n v="57"/>
    <x v="1"/>
    <n v="16.378378378378379"/>
  </r>
  <r>
    <n v="29"/>
    <x v="27"/>
    <x v="1"/>
    <x v="7"/>
    <x v="3"/>
    <x v="28"/>
    <n v="48316"/>
    <x v="0"/>
    <n v="42"/>
    <x v="2"/>
    <n v="96.825651302605209"/>
  </r>
  <r>
    <n v="30"/>
    <x v="28"/>
    <x v="1"/>
    <x v="8"/>
    <x v="0"/>
    <x v="29"/>
    <n v="15132"/>
    <x v="2"/>
    <n v="25"/>
    <x v="0"/>
    <n v="52.179310344827584"/>
  </r>
  <r>
    <n v="31"/>
    <x v="29"/>
    <x v="2"/>
    <x v="7"/>
    <x v="3"/>
    <x v="30"/>
    <n v="5246"/>
    <x v="1"/>
    <n v="42"/>
    <x v="2"/>
    <n v="14.21680216802168"/>
  </r>
  <r>
    <n v="32"/>
    <x v="30"/>
    <x v="3"/>
    <x v="7"/>
    <x v="0"/>
    <x v="31"/>
    <n v="37744"/>
    <x v="1"/>
    <n v="42"/>
    <x v="2"/>
    <n v="97.028277634961441"/>
  </r>
  <r>
    <n v="33"/>
    <x v="31"/>
    <x v="3"/>
    <x v="8"/>
    <x v="3"/>
    <x v="32"/>
    <n v="679"/>
    <x v="0"/>
    <n v="25"/>
    <x v="0"/>
    <n v="1.3287671232876712"/>
  </r>
  <r>
    <n v="34"/>
    <x v="32"/>
    <x v="1"/>
    <x v="6"/>
    <x v="2"/>
    <x v="33"/>
    <n v="48000"/>
    <x v="0"/>
    <n v="28"/>
    <x v="0"/>
    <n v="144.14414414414415"/>
  </r>
  <r>
    <n v="35"/>
    <x v="3"/>
    <x v="1"/>
    <x v="1"/>
    <x v="2"/>
    <x v="34"/>
    <n v="34680"/>
    <x v="1"/>
    <n v="52"/>
    <x v="1"/>
    <n v="133.38461538461539"/>
  </r>
  <r>
    <n v="36"/>
    <x v="33"/>
    <x v="1"/>
    <x v="4"/>
    <x v="2"/>
    <x v="35"/>
    <n v="50274"/>
    <x v="1"/>
    <n v="26"/>
    <x v="0"/>
    <n v="109.29130434782608"/>
  </r>
  <r>
    <n v="37"/>
    <x v="34"/>
    <x v="2"/>
    <x v="9"/>
    <x v="0"/>
    <x v="36"/>
    <n v="43615"/>
    <x v="1"/>
    <n v="49"/>
    <x v="1"/>
    <n v="300.79310344827587"/>
  </r>
  <r>
    <n v="38"/>
    <x v="35"/>
    <x v="1"/>
    <x v="7"/>
    <x v="3"/>
    <x v="37"/>
    <n v="14076"/>
    <x v="0"/>
    <n v="42"/>
    <x v="2"/>
    <n v="122.4"/>
  </r>
  <r>
    <n v="39"/>
    <x v="36"/>
    <x v="2"/>
    <x v="2"/>
    <x v="0"/>
    <x v="38"/>
    <n v="12870"/>
    <x v="0"/>
    <n v="36"/>
    <x v="2"/>
    <n v="51.895161290322584"/>
  </r>
  <r>
    <n v="40"/>
    <x v="37"/>
    <x v="3"/>
    <x v="1"/>
    <x v="0"/>
    <x v="39"/>
    <n v="679"/>
    <x v="1"/>
    <n v="52"/>
    <x v="1"/>
    <n v="4.1151515151515152"/>
  </r>
  <r>
    <n v="41"/>
    <x v="38"/>
    <x v="1"/>
    <x v="7"/>
    <x v="1"/>
    <x v="40"/>
    <n v="35280"/>
    <x v="1"/>
    <n v="42"/>
    <x v="2"/>
    <n v="691.76470588235293"/>
  </r>
  <r>
    <n v="42"/>
    <x v="39"/>
    <x v="2"/>
    <x v="7"/>
    <x v="0"/>
    <x v="41"/>
    <n v="37490"/>
    <x v="1"/>
    <n v="42"/>
    <x v="2"/>
    <n v="98.141361256544499"/>
  </r>
  <r>
    <n v="43"/>
    <x v="40"/>
    <x v="2"/>
    <x v="7"/>
    <x v="0"/>
    <x v="42"/>
    <n v="679"/>
    <x v="1"/>
    <n v="42"/>
    <x v="2"/>
    <n v="1.9180790960451977"/>
  </r>
  <r>
    <n v="44"/>
    <x v="41"/>
    <x v="3"/>
    <x v="1"/>
    <x v="1"/>
    <x v="43"/>
    <n v="46068"/>
    <x v="0"/>
    <n v="52"/>
    <x v="1"/>
    <n v="125.18478260869566"/>
  </r>
  <r>
    <n v="45"/>
    <x v="42"/>
    <x v="1"/>
    <x v="2"/>
    <x v="3"/>
    <x v="44"/>
    <n v="11078"/>
    <x v="0"/>
    <n v="36"/>
    <x v="2"/>
    <n v="140.22784810126583"/>
  </r>
  <r>
    <n v="46"/>
    <x v="43"/>
    <x v="1"/>
    <x v="5"/>
    <x v="0"/>
    <x v="45"/>
    <n v="32045"/>
    <x v="0"/>
    <n v="28"/>
    <x v="0"/>
    <n v="138.72294372294371"/>
  </r>
  <r>
    <n v="47"/>
    <x v="44"/>
    <x v="3"/>
    <x v="3"/>
    <x v="0"/>
    <x v="46"/>
    <n v="33284"/>
    <x v="0"/>
    <n v="57"/>
    <x v="1"/>
    <n v="115.56944444444444"/>
  </r>
  <r>
    <n v="48"/>
    <x v="45"/>
    <x v="2"/>
    <x v="4"/>
    <x v="3"/>
    <x v="47"/>
    <n v="11954"/>
    <x v="0"/>
    <n v="26"/>
    <x v="0"/>
    <n v="55.859813084112147"/>
  </r>
  <r>
    <n v="49"/>
    <x v="5"/>
    <x v="0"/>
    <x v="4"/>
    <x v="2"/>
    <x v="48"/>
    <n v="36708"/>
    <x v="1"/>
    <n v="26"/>
    <x v="0"/>
    <n v="496.05405405405406"/>
  </r>
  <r>
    <n v="50"/>
    <x v="46"/>
    <x v="2"/>
    <x v="0"/>
    <x v="1"/>
    <x v="49"/>
    <n v="30600"/>
    <x v="1"/>
    <n v="25"/>
    <x v="0"/>
    <n v="172.88135593220338"/>
  </r>
  <r>
    <n v="51"/>
    <x v="47"/>
    <x v="0"/>
    <x v="3"/>
    <x v="2"/>
    <x v="50"/>
    <n v="13568"/>
    <x v="0"/>
    <n v="57"/>
    <x v="1"/>
    <n v="37.899441340782126"/>
  </r>
  <r>
    <n v="52"/>
    <x v="5"/>
    <x v="0"/>
    <x v="7"/>
    <x v="2"/>
    <x v="51"/>
    <n v="33344"/>
    <x v="1"/>
    <n v="42"/>
    <x v="2"/>
    <n v="97.212827988338191"/>
  </r>
  <r>
    <n v="53"/>
    <x v="48"/>
    <x v="3"/>
    <x v="7"/>
    <x v="2"/>
    <x v="52"/>
    <n v="3960"/>
    <x v="1"/>
    <n v="42"/>
    <x v="2"/>
    <n v="62.857142857142854"/>
  </r>
  <r>
    <n v="54"/>
    <x v="49"/>
    <x v="1"/>
    <x v="6"/>
    <x v="0"/>
    <x v="53"/>
    <n v="58208"/>
    <x v="1"/>
    <n v="28"/>
    <x v="0"/>
    <n v="135.68298368298369"/>
  </r>
  <r>
    <n v="55"/>
    <x v="50"/>
    <x v="0"/>
    <x v="7"/>
    <x v="1"/>
    <x v="54"/>
    <n v="59458"/>
    <x v="1"/>
    <n v="42"/>
    <x v="2"/>
    <n v="121.09572301425662"/>
  </r>
  <r>
    <n v="56"/>
    <x v="51"/>
    <x v="1"/>
    <x v="7"/>
    <x v="0"/>
    <x v="55"/>
    <n v="13872"/>
    <x v="0"/>
    <n v="42"/>
    <x v="2"/>
    <n v="40.325581395348834"/>
  </r>
  <r>
    <n v="57"/>
    <x v="22"/>
    <x v="1"/>
    <x v="0"/>
    <x v="1"/>
    <x v="56"/>
    <n v="57706"/>
    <x v="0"/>
    <n v="25"/>
    <x v="0"/>
    <n v="226.29803921568629"/>
  </r>
  <r>
    <n v="58"/>
    <x v="52"/>
    <x v="0"/>
    <x v="7"/>
    <x v="0"/>
    <x v="57"/>
    <n v="59248"/>
    <x v="0"/>
    <n v="42"/>
    <x v="2"/>
    <n v="370.3"/>
  </r>
  <r>
    <n v="59"/>
    <x v="53"/>
    <x v="2"/>
    <x v="0"/>
    <x v="3"/>
    <x v="58"/>
    <n v="29440"/>
    <x v="1"/>
    <n v="25"/>
    <x v="0"/>
    <n v="91.428571428571431"/>
  </r>
  <r>
    <n v="60"/>
    <x v="54"/>
    <x v="2"/>
    <x v="0"/>
    <x v="2"/>
    <x v="4"/>
    <n v="679"/>
    <x v="1"/>
    <n v="25"/>
    <x v="0"/>
    <n v="3.8146067415730336"/>
  </r>
  <r>
    <n v="61"/>
    <x v="26"/>
    <x v="1"/>
    <x v="1"/>
    <x v="0"/>
    <x v="59"/>
    <n v="8475"/>
    <x v="0"/>
    <n v="52"/>
    <x v="1"/>
    <n v="56.12582781456954"/>
  </r>
  <r>
    <n v="62"/>
    <x v="5"/>
    <x v="1"/>
    <x v="3"/>
    <x v="2"/>
    <x v="60"/>
    <n v="44330"/>
    <x v="1"/>
    <n v="57"/>
    <x v="1"/>
    <n v="82.859813084112147"/>
  </r>
  <r>
    <n v="63"/>
    <x v="49"/>
    <x v="3"/>
    <x v="0"/>
    <x v="0"/>
    <x v="61"/>
    <n v="3186"/>
    <x v="0"/>
    <n v="25"/>
    <x v="0"/>
    <n v="10.445901639344262"/>
  </r>
  <r>
    <n v="64"/>
    <x v="55"/>
    <x v="1"/>
    <x v="0"/>
    <x v="3"/>
    <x v="62"/>
    <n v="679"/>
    <x v="0"/>
    <n v="25"/>
    <x v="0"/>
    <n v="3.6117021276595747"/>
  </r>
  <r>
    <n v="65"/>
    <x v="56"/>
    <x v="3"/>
    <x v="7"/>
    <x v="0"/>
    <x v="63"/>
    <n v="679"/>
    <x v="1"/>
    <n v="42"/>
    <x v="2"/>
    <n v="1.3717171717171717"/>
  </r>
  <r>
    <n v="66"/>
    <x v="57"/>
    <x v="1"/>
    <x v="5"/>
    <x v="3"/>
    <x v="64"/>
    <n v="28050"/>
    <x v="0"/>
    <n v="28"/>
    <x v="0"/>
    <n v="147.63157894736841"/>
  </r>
  <r>
    <n v="67"/>
    <x v="58"/>
    <x v="1"/>
    <x v="4"/>
    <x v="0"/>
    <x v="32"/>
    <n v="16698"/>
    <x v="2"/>
    <n v="26"/>
    <x v="0"/>
    <n v="32.677103718199611"/>
  </r>
  <r>
    <n v="68"/>
    <x v="5"/>
    <x v="0"/>
    <x v="9"/>
    <x v="0"/>
    <x v="65"/>
    <n v="27956"/>
    <x v="2"/>
    <n v="49"/>
    <x v="1"/>
    <n v="90.766233766233768"/>
  </r>
  <r>
    <n v="69"/>
    <x v="59"/>
    <x v="3"/>
    <x v="2"/>
    <x v="1"/>
    <x v="66"/>
    <n v="679"/>
    <x v="1"/>
    <n v="36"/>
    <x v="2"/>
    <n v="3.7103825136612021"/>
  </r>
  <r>
    <n v="70"/>
    <x v="60"/>
    <x v="2"/>
    <x v="7"/>
    <x v="1"/>
    <x v="67"/>
    <n v="36984"/>
    <x v="0"/>
    <n v="42"/>
    <x v="2"/>
    <n v="110.4"/>
  </r>
  <r>
    <n v="71"/>
    <x v="5"/>
    <x v="2"/>
    <x v="9"/>
    <x v="1"/>
    <x v="68"/>
    <n v="46800"/>
    <x v="1"/>
    <n v="49"/>
    <x v="1"/>
    <n v="492.63157894736844"/>
  </r>
  <r>
    <n v="72"/>
    <x v="61"/>
    <x v="2"/>
    <x v="7"/>
    <x v="1"/>
    <x v="69"/>
    <n v="7125"/>
    <x v="1"/>
    <n v="42"/>
    <x v="2"/>
    <n v="32.683486238532112"/>
  </r>
  <r>
    <n v="73"/>
    <x v="62"/>
    <x v="1"/>
    <x v="7"/>
    <x v="2"/>
    <x v="70"/>
    <n v="12320"/>
    <x v="0"/>
    <n v="42"/>
    <x v="2"/>
    <n v="46.490566037735846"/>
  </r>
  <r>
    <n v="74"/>
    <x v="63"/>
    <x v="1"/>
    <x v="1"/>
    <x v="3"/>
    <x v="71"/>
    <n v="42028"/>
    <x v="0"/>
    <n v="52"/>
    <x v="1"/>
    <n v="197.31455399061034"/>
  </r>
  <r>
    <n v="75"/>
    <x v="64"/>
    <x v="1"/>
    <x v="6"/>
    <x v="0"/>
    <x v="72"/>
    <n v="679"/>
    <x v="1"/>
    <n v="28"/>
    <x v="0"/>
    <n v="5.3046875"/>
  </r>
  <r>
    <n v="76"/>
    <x v="8"/>
    <x v="2"/>
    <x v="0"/>
    <x v="3"/>
    <x v="73"/>
    <n v="25758"/>
    <x v="2"/>
    <n v="25"/>
    <x v="0"/>
    <n v="123.83653846153847"/>
  </r>
  <r>
    <n v="77"/>
    <x v="65"/>
    <x v="1"/>
    <x v="7"/>
    <x v="1"/>
    <x v="37"/>
    <n v="34804"/>
    <x v="0"/>
    <n v="42"/>
    <x v="2"/>
    <n v="302.64347826086959"/>
  </r>
  <r>
    <n v="78"/>
    <x v="17"/>
    <x v="0"/>
    <x v="4"/>
    <x v="0"/>
    <x v="74"/>
    <n v="679"/>
    <x v="0"/>
    <n v="26"/>
    <x v="0"/>
    <n v="1.4602150537634409"/>
  </r>
  <r>
    <n v="79"/>
    <x v="66"/>
    <x v="3"/>
    <x v="7"/>
    <x v="2"/>
    <x v="75"/>
    <n v="45312"/>
    <x v="1"/>
    <n v="42"/>
    <x v="2"/>
    <n v="87.306358381502889"/>
  </r>
  <r>
    <n v="80"/>
    <x v="5"/>
    <x v="0"/>
    <x v="3"/>
    <x v="2"/>
    <x v="76"/>
    <n v="44525"/>
    <x v="2"/>
    <n v="57"/>
    <x v="1"/>
    <n v="117.17105263157895"/>
  </r>
  <r>
    <n v="81"/>
    <x v="10"/>
    <x v="3"/>
    <x v="7"/>
    <x v="0"/>
    <x v="77"/>
    <n v="3132"/>
    <x v="1"/>
    <n v="42"/>
    <x v="2"/>
    <n v="97.875"/>
  </r>
  <r>
    <n v="82"/>
    <x v="67"/>
    <x v="3"/>
    <x v="0"/>
    <x v="1"/>
    <x v="78"/>
    <n v="16740"/>
    <x v="0"/>
    <n v="25"/>
    <x v="0"/>
    <n v="128.76923076923077"/>
  </r>
  <r>
    <n v="83"/>
    <x v="18"/>
    <x v="1"/>
    <x v="4"/>
    <x v="2"/>
    <x v="79"/>
    <n v="65250"/>
    <x v="0"/>
    <n v="26"/>
    <x v="0"/>
    <n v="119.72477064220183"/>
  </r>
  <r>
    <n v="84"/>
    <x v="68"/>
    <x v="1"/>
    <x v="5"/>
    <x v="3"/>
    <x v="80"/>
    <n v="10688"/>
    <x v="0"/>
    <n v="28"/>
    <x v="0"/>
    <n v="127.23809523809524"/>
  </r>
  <r>
    <n v="85"/>
    <x v="69"/>
    <x v="1"/>
    <x v="7"/>
    <x v="3"/>
    <x v="81"/>
    <n v="18648"/>
    <x v="0"/>
    <n v="42"/>
    <x v="2"/>
    <n v="97.125"/>
  </r>
  <r>
    <n v="86"/>
    <x v="70"/>
    <x v="0"/>
    <x v="5"/>
    <x v="0"/>
    <x v="82"/>
    <n v="5822"/>
    <x v="1"/>
    <n v="28"/>
    <x v="0"/>
    <n v="97.033333333333331"/>
  </r>
  <r>
    <n v="87"/>
    <x v="71"/>
    <x v="1"/>
    <x v="7"/>
    <x v="1"/>
    <x v="83"/>
    <n v="51221"/>
    <x v="0"/>
    <n v="42"/>
    <x v="2"/>
    <n v="245.07655502392345"/>
  </r>
  <r>
    <n v="88"/>
    <x v="72"/>
    <x v="2"/>
    <x v="5"/>
    <x v="1"/>
    <x v="84"/>
    <n v="75332"/>
    <x v="0"/>
    <n v="28"/>
    <x v="0"/>
    <n v="285.34848484848487"/>
  </r>
  <r>
    <n v="89"/>
    <x v="73"/>
    <x v="1"/>
    <x v="4"/>
    <x v="3"/>
    <x v="85"/>
    <n v="679"/>
    <x v="0"/>
    <n v="26"/>
    <x v="0"/>
    <n v="7"/>
  </r>
  <r>
    <n v="90"/>
    <x v="74"/>
    <x v="1"/>
    <x v="4"/>
    <x v="1"/>
    <x v="86"/>
    <n v="13310"/>
    <x v="0"/>
    <n v="26"/>
    <x v="0"/>
    <n v="32.945544554455445"/>
  </r>
  <r>
    <n v="91"/>
    <x v="75"/>
    <x v="2"/>
    <x v="7"/>
    <x v="2"/>
    <x v="87"/>
    <n v="47952"/>
    <x v="1"/>
    <n v="42"/>
    <x v="2"/>
    <n v="124.2279792746114"/>
  </r>
  <r>
    <n v="92"/>
    <x v="76"/>
    <x v="0"/>
    <x v="0"/>
    <x v="2"/>
    <x v="47"/>
    <n v="4984"/>
    <x v="1"/>
    <n v="25"/>
    <x v="0"/>
    <n v="23.289719626168225"/>
  </r>
  <r>
    <n v="93"/>
    <x v="77"/>
    <x v="0"/>
    <x v="6"/>
    <x v="0"/>
    <x v="88"/>
    <n v="4131"/>
    <x v="1"/>
    <n v="28"/>
    <x v="0"/>
    <n v="11.28688524590164"/>
  </r>
  <r>
    <n v="94"/>
    <x v="78"/>
    <x v="2"/>
    <x v="8"/>
    <x v="0"/>
    <x v="89"/>
    <n v="24549"/>
    <x v="1"/>
    <n v="25"/>
    <x v="0"/>
    <n v="141.90173410404626"/>
  </r>
  <r>
    <n v="95"/>
    <x v="79"/>
    <x v="2"/>
    <x v="7"/>
    <x v="1"/>
    <x v="90"/>
    <n v="679"/>
    <x v="0"/>
    <n v="42"/>
    <x v="2"/>
    <n v="2.2189542483660132"/>
  </r>
  <r>
    <n v="96"/>
    <x v="80"/>
    <x v="2"/>
    <x v="5"/>
    <x v="0"/>
    <x v="72"/>
    <n v="35088"/>
    <x v="1"/>
    <n v="28"/>
    <x v="0"/>
    <n v="274.125"/>
  </r>
  <r>
    <n v="97"/>
    <x v="81"/>
    <x v="1"/>
    <x v="0"/>
    <x v="3"/>
    <x v="43"/>
    <n v="25254"/>
    <x v="0"/>
    <n v="25"/>
    <x v="0"/>
    <n v="68.625"/>
  </r>
  <r>
    <n v="98"/>
    <x v="82"/>
    <x v="1"/>
    <x v="3"/>
    <x v="2"/>
    <x v="91"/>
    <n v="17500"/>
    <x v="1"/>
    <n v="57"/>
    <x v="1"/>
    <n v="78.828828828828833"/>
  </r>
  <r>
    <n v="99"/>
    <x v="83"/>
    <x v="1"/>
    <x v="7"/>
    <x v="3"/>
    <x v="92"/>
    <n v="36934"/>
    <x v="0"/>
    <n v="42"/>
    <x v="2"/>
    <n v="170.99074074074073"/>
  </r>
  <r>
    <n v="100"/>
    <x v="26"/>
    <x v="1"/>
    <x v="1"/>
    <x v="3"/>
    <x v="93"/>
    <n v="679"/>
    <x v="0"/>
    <n v="52"/>
    <x v="1"/>
    <n v="2.2117263843648209"/>
  </r>
  <r>
    <n v="101"/>
    <x v="15"/>
    <x v="0"/>
    <x v="0"/>
    <x v="1"/>
    <x v="94"/>
    <n v="40565"/>
    <x v="0"/>
    <n v="25"/>
    <x v="0"/>
    <n v="105.63802083333333"/>
  </r>
  <r>
    <n v="102"/>
    <x v="84"/>
    <x v="3"/>
    <x v="4"/>
    <x v="0"/>
    <x v="95"/>
    <n v="679"/>
    <x v="0"/>
    <n v="26"/>
    <x v="0"/>
    <n v="1.8058510638297873"/>
  </r>
  <r>
    <n v="103"/>
    <x v="85"/>
    <x v="3"/>
    <x v="3"/>
    <x v="0"/>
    <x v="85"/>
    <n v="679"/>
    <x v="0"/>
    <n v="57"/>
    <x v="1"/>
    <n v="7"/>
  </r>
  <r>
    <n v="104"/>
    <x v="86"/>
    <x v="1"/>
    <x v="7"/>
    <x v="2"/>
    <x v="96"/>
    <n v="12753"/>
    <x v="1"/>
    <n v="42"/>
    <x v="2"/>
    <n v="35.523676880222844"/>
  </r>
  <r>
    <n v="105"/>
    <x v="5"/>
    <x v="2"/>
    <x v="7"/>
    <x v="2"/>
    <x v="97"/>
    <n v="16864"/>
    <x v="1"/>
    <n v="42"/>
    <x v="2"/>
    <n v="53.031446540880502"/>
  </r>
  <r>
    <n v="106"/>
    <x v="87"/>
    <x v="0"/>
    <x v="7"/>
    <x v="0"/>
    <x v="40"/>
    <n v="56888"/>
    <x v="0"/>
    <n v="42"/>
    <x v="2"/>
    <n v="1115.4509803921569"/>
  </r>
  <r>
    <n v="107"/>
    <x v="88"/>
    <x v="3"/>
    <x v="5"/>
    <x v="2"/>
    <x v="98"/>
    <n v="679"/>
    <x v="2"/>
    <n v="28"/>
    <x v="0"/>
    <n v="2.8771186440677967"/>
  </r>
  <r>
    <n v="108"/>
    <x v="89"/>
    <x v="1"/>
    <x v="7"/>
    <x v="0"/>
    <x v="47"/>
    <n v="31122"/>
    <x v="1"/>
    <n v="42"/>
    <x v="2"/>
    <n v="145.42990654205607"/>
  </r>
  <r>
    <n v="109"/>
    <x v="90"/>
    <x v="3"/>
    <x v="6"/>
    <x v="0"/>
    <x v="99"/>
    <n v="25853"/>
    <x v="0"/>
    <n v="28"/>
    <x v="0"/>
    <n v="300.61627906976742"/>
  </r>
  <r>
    <n v="110"/>
    <x v="91"/>
    <x v="1"/>
    <x v="1"/>
    <x v="2"/>
    <x v="100"/>
    <n v="11092"/>
    <x v="0"/>
    <n v="52"/>
    <x v="1"/>
    <n v="71.561290322580646"/>
  </r>
  <r>
    <n v="111"/>
    <x v="84"/>
    <x v="2"/>
    <x v="4"/>
    <x v="3"/>
    <x v="101"/>
    <n v="4221"/>
    <x v="1"/>
    <n v="26"/>
    <x v="0"/>
    <n v="13.231974921630094"/>
  </r>
  <r>
    <n v="112"/>
    <x v="92"/>
    <x v="3"/>
    <x v="8"/>
    <x v="0"/>
    <x v="102"/>
    <n v="31500"/>
    <x v="1"/>
    <n v="25"/>
    <x v="0"/>
    <n v="508.06451612903226"/>
  </r>
  <r>
    <n v="113"/>
    <x v="93"/>
    <x v="3"/>
    <x v="4"/>
    <x v="0"/>
    <x v="103"/>
    <n v="31414"/>
    <x v="0"/>
    <n v="26"/>
    <x v="0"/>
    <n v="387.82716049382714"/>
  </r>
  <r>
    <n v="114"/>
    <x v="94"/>
    <x v="2"/>
    <x v="3"/>
    <x v="0"/>
    <x v="104"/>
    <n v="40446"/>
    <x v="2"/>
    <n v="57"/>
    <x v="1"/>
    <n v="321"/>
  </r>
  <r>
    <n v="115"/>
    <x v="60"/>
    <x v="1"/>
    <x v="4"/>
    <x v="0"/>
    <x v="105"/>
    <n v="42432"/>
    <x v="0"/>
    <n v="26"/>
    <x v="0"/>
    <n v="78.432532347504619"/>
  </r>
  <r>
    <n v="116"/>
    <x v="95"/>
    <x v="2"/>
    <x v="5"/>
    <x v="1"/>
    <x v="106"/>
    <n v="64635"/>
    <x v="1"/>
    <n v="28"/>
    <x v="0"/>
    <n v="97.049549549549553"/>
  </r>
  <r>
    <n v="117"/>
    <x v="96"/>
    <x v="2"/>
    <x v="4"/>
    <x v="3"/>
    <x v="107"/>
    <n v="51168"/>
    <x v="1"/>
    <n v="26"/>
    <x v="0"/>
    <n v="97.092979127134726"/>
  </r>
  <r>
    <n v="118"/>
    <x v="97"/>
    <x v="1"/>
    <x v="7"/>
    <x v="0"/>
    <x v="108"/>
    <n v="24948"/>
    <x v="1"/>
    <n v="42"/>
    <x v="2"/>
    <n v="86.325259515570934"/>
  </r>
  <r>
    <n v="119"/>
    <x v="72"/>
    <x v="1"/>
    <x v="3"/>
    <x v="3"/>
    <x v="109"/>
    <n v="56118"/>
    <x v="2"/>
    <n v="57"/>
    <x v="1"/>
    <n v="282"/>
  </r>
  <r>
    <n v="120"/>
    <x v="98"/>
    <x v="3"/>
    <x v="2"/>
    <x v="0"/>
    <x v="110"/>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E0E62-B0D8-42D5-8FC3-E42E884733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3">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B1EA6-BE5B-44A2-922D-9B7BD243E7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6AB619-21DC-4270-AA3D-95FC03EEC2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11" count="1" selected="0">
            <x v="4"/>
          </reference>
          <reference field="13" count="1" selected="0">
            <x v="2"/>
          </reference>
        </references>
      </pivotArea>
    </chartFormat>
    <chartFormat chart="2" format="2">
      <pivotArea type="data" outline="0" fieldPosition="0">
        <references count="3">
          <reference field="4294967294" count="1" selected="0">
            <x v="0"/>
          </reference>
          <reference field="11" count="1" selected="0">
            <x v="2"/>
          </reference>
          <reference field="13"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3">
          <reference field="4294967294" count="1" selected="0">
            <x v="0"/>
          </reference>
          <reference field="11" count="1" selected="0">
            <x v="2"/>
          </reference>
          <reference field="13" count="1" selected="0">
            <x v="2"/>
          </reference>
        </references>
      </pivotArea>
    </chartFormat>
    <chartFormat chart="4" format="8">
      <pivotArea type="data" outline="0" fieldPosition="0">
        <references count="3">
          <reference field="4294967294" count="1" selected="0">
            <x v="0"/>
          </reference>
          <reference field="11" count="1" selected="0">
            <x v="4"/>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84FA68-8666-421E-82F7-47FBCAA3D1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64"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 fld="10" subtotal="average" baseField="0" baseItem="0" numFmtId="43"/>
  </dataFields>
  <formats count="1">
    <format dxfId="2">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B8CA27-C5F3-4407-938B-76967B6BB8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dataField="1" showAll="0">
      <items count="112">
        <item x="77"/>
        <item x="40"/>
        <item x="8"/>
        <item x="82"/>
        <item x="102"/>
        <item x="52"/>
        <item x="6"/>
        <item x="48"/>
        <item x="44"/>
        <item x="103"/>
        <item x="80"/>
        <item x="99"/>
        <item x="22"/>
        <item x="68"/>
        <item x="85"/>
        <item x="37"/>
        <item x="104"/>
        <item x="72"/>
        <item x="78"/>
        <item x="36"/>
        <item x="59"/>
        <item x="100"/>
        <item x="57"/>
        <item x="39"/>
        <item x="89"/>
        <item x="49"/>
        <item x="4"/>
        <item x="21"/>
        <item x="66"/>
        <item x="62"/>
        <item x="64"/>
        <item x="81"/>
        <item x="15"/>
        <item x="109"/>
        <item x="73"/>
        <item x="83"/>
        <item x="71"/>
        <item x="47"/>
        <item x="92"/>
        <item x="69"/>
        <item x="91"/>
        <item x="45"/>
        <item x="98"/>
        <item x="16"/>
        <item x="38"/>
        <item x="20"/>
        <item x="56"/>
        <item x="34"/>
        <item x="84"/>
        <item x="70"/>
        <item x="46"/>
        <item x="108"/>
        <item x="29"/>
        <item x="61"/>
        <item x="90"/>
        <item x="93"/>
        <item x="65"/>
        <item x="97"/>
        <item x="101"/>
        <item x="58"/>
        <item x="19"/>
        <item x="13"/>
        <item x="33"/>
        <item x="67"/>
        <item x="51"/>
        <item x="55"/>
        <item x="42"/>
        <item x="50"/>
        <item x="96"/>
        <item x="17"/>
        <item x="88"/>
        <item x="43"/>
        <item x="30"/>
        <item x="95"/>
        <item x="76"/>
        <item x="41"/>
        <item x="14"/>
        <item x="94"/>
        <item x="87"/>
        <item x="31"/>
        <item x="9"/>
        <item x="5"/>
        <item x="86"/>
        <item x="25"/>
        <item x="0"/>
        <item x="26"/>
        <item x="53"/>
        <item x="1"/>
        <item x="12"/>
        <item x="24"/>
        <item x="18"/>
        <item x="27"/>
        <item x="7"/>
        <item x="23"/>
        <item x="3"/>
        <item x="35"/>
        <item x="11"/>
        <item x="74"/>
        <item x="2"/>
        <item x="54"/>
        <item x="10"/>
        <item x="63"/>
        <item x="110"/>
        <item x="28"/>
        <item x="32"/>
        <item x="75"/>
        <item x="107"/>
        <item x="60"/>
        <item x="105"/>
        <item x="79"/>
        <item x="106"/>
        <item t="default"/>
      </items>
    </pivotField>
    <pivotField showAll="0"/>
    <pivotField showAll="0">
      <items count="4">
        <item x="0"/>
        <item x="1"/>
        <item x="2"/>
        <item t="default"/>
      </items>
    </pivotField>
    <pivotField showAll="0"/>
    <pivotField showAll="0">
      <items count="4">
        <item x="0"/>
        <item x="2"/>
        <item x="1"/>
        <item t="default"/>
      </items>
    </pivotField>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11">
    <i>
      <x v="8"/>
    </i>
    <i>
      <x v="4"/>
    </i>
    <i>
      <x v="5"/>
    </i>
    <i>
      <x v="7"/>
    </i>
    <i>
      <x v="6"/>
    </i>
    <i>
      <x/>
    </i>
    <i>
      <x v="3"/>
    </i>
    <i>
      <x v="2"/>
    </i>
    <i>
      <x v="1"/>
    </i>
    <i>
      <x v="9"/>
    </i>
    <i t="grand">
      <x/>
    </i>
  </rowItems>
  <colItems count="1">
    <i/>
  </colItems>
  <dataFields count="1">
    <dataField name="Sum of UnitsProduc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B18E8E-83D1-4074-BBC0-8210C756E7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showAll="0"/>
    <pivotField dataField="1" showAll="0"/>
    <pivotField dataField="1" showAll="0"/>
    <pivotField showAll="0"/>
    <pivotField showAll="0"/>
    <pivotField showAll="0"/>
    <pivotField numFmtId="164" showAll="0"/>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UnitsProduced" fld="5" baseField="0" baseItem="0" numFmtId="164"/>
    <dataField name="Sum of TotalCost" fld="6"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2BFB55-48DE-4DD0-A67E-444B304FCE1F}" sourceName="Region">
  <pivotTables>
    <pivotTable tabId="3" name="PivotTable1"/>
    <pivotTable tabId="4" name="PivotTable2"/>
    <pivotTable tabId="5" name="PivotTable1"/>
    <pivotTable tabId="6" name="PivotTable2"/>
    <pivotTable tabId="9" name="PivotTable3"/>
  </pivotTables>
  <data>
    <tabular pivotCacheId="112921695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CA251B-7F37-444C-968A-1B37954086C4}" sourceName="Gender">
  <pivotTables>
    <pivotTable tabId="3" name="PivotTable1"/>
    <pivotTable tabId="4" name="PivotTable2"/>
    <pivotTable tabId="5" name="PivotTable1"/>
    <pivotTable tabId="6" name="PivotTable2"/>
    <pivotTable tabId="9" name="PivotTable3"/>
  </pivotTables>
  <data>
    <tabular pivotCacheId="11292169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B8A87A2A-E8E5-4FCF-88E9-10E371950159}" sourceName="Age Groups">
  <pivotTables>
    <pivotTable tabId="3" name="PivotTable1"/>
    <pivotTable tabId="4" name="PivotTable2"/>
    <pivotTable tabId="5" name="PivotTable1"/>
    <pivotTable tabId="6" name="PivotTable2"/>
    <pivotTable tabId="9" name="PivotTable3"/>
  </pivotTables>
  <data>
    <tabular pivotCacheId="112921695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C298F2A5-88CA-4BBA-978E-C474301514CB}" sourceName="Quarters (ProductionDate)">
  <pivotTables>
    <pivotTable tabId="3" name="PivotTable1"/>
    <pivotTable tabId="4" name="PivotTable2"/>
    <pivotTable tabId="5" name="PivotTable1"/>
    <pivotTable tabId="6" name="PivotTable2"/>
    <pivotTable tabId="9" name="PivotTable3"/>
  </pivotTables>
  <data>
    <tabular pivotCacheId="112921695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CCC3B3-B0D6-4BF3-B320-76F9BB6B5989}" cache="Slicer_Region" caption="Region" rowHeight="234950"/>
  <slicer name="Gender" xr10:uid="{428DECF3-D7CE-408B-A5AB-3B1EE4FB241E}" cache="Slicer_Gender" caption="Gender" rowHeight="234950"/>
  <slicer name="Age Groups" xr10:uid="{96C5DB3D-528B-4CE8-B676-C12FFA70881A}" cache="Slicer_Age_Groups" caption="Age Groups" rowHeight="234950"/>
  <slicer name="Quarters (ProductionDate)" xr10:uid="{4BB61A5A-F291-430D-BC81-55C886A9D6E4}"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086C-188F-4C39-9B7C-6AA2365524C2}">
  <sheetPr>
    <tabColor theme="1"/>
  </sheetPr>
  <dimension ref="B2:AC19"/>
  <sheetViews>
    <sheetView showGridLines="0" tabSelected="1" zoomScale="56" zoomScaleNormal="56" workbookViewId="0">
      <selection activeCell="AG26" sqref="AG26"/>
    </sheetView>
  </sheetViews>
  <sheetFormatPr defaultRowHeight="14.4" x14ac:dyDescent="0.3"/>
  <sheetData>
    <row r="2" spans="2:29" x14ac:dyDescent="0.3">
      <c r="B2" s="9" t="s">
        <v>52</v>
      </c>
      <c r="C2" s="10"/>
      <c r="D2" s="10"/>
      <c r="E2" s="10"/>
      <c r="F2" s="10"/>
      <c r="G2" s="10"/>
      <c r="H2" s="10"/>
      <c r="I2" s="10"/>
      <c r="J2" s="10"/>
      <c r="K2" s="10"/>
      <c r="L2" s="10"/>
      <c r="M2" s="10"/>
      <c r="N2" s="10"/>
      <c r="O2" s="10"/>
      <c r="P2" s="10"/>
      <c r="Q2" s="10"/>
      <c r="R2" s="10"/>
      <c r="S2" s="10"/>
      <c r="T2" s="10"/>
      <c r="U2" s="10"/>
      <c r="V2" s="10"/>
      <c r="W2" s="10"/>
      <c r="X2" s="10"/>
      <c r="Y2" s="10"/>
      <c r="Z2" s="10"/>
      <c r="AA2" s="10"/>
      <c r="AB2" s="10"/>
      <c r="AC2" s="8"/>
    </row>
    <row r="3" spans="2:29" x14ac:dyDescent="0.3">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2:29" x14ac:dyDescent="0.3">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spans="2:29" x14ac:dyDescent="0.3">
      <c r="B5" s="10"/>
      <c r="C5" s="10"/>
      <c r="D5" s="10"/>
      <c r="E5" s="10"/>
      <c r="F5" s="10"/>
      <c r="G5" s="10"/>
      <c r="H5" s="10"/>
      <c r="I5" s="10"/>
      <c r="J5" s="10"/>
      <c r="K5" s="10"/>
      <c r="L5" s="10"/>
      <c r="M5" s="10"/>
      <c r="N5" s="10"/>
      <c r="O5" s="10"/>
      <c r="P5" s="10"/>
      <c r="Q5" s="10"/>
      <c r="R5" s="10"/>
      <c r="S5" s="10"/>
      <c r="T5" s="10"/>
      <c r="U5" s="10"/>
      <c r="V5" s="10"/>
      <c r="W5" s="10"/>
      <c r="X5" s="10"/>
      <c r="Y5" s="10"/>
      <c r="Z5" s="10"/>
      <c r="AA5" s="10"/>
      <c r="AB5" s="10"/>
    </row>
    <row r="6" spans="2:29" x14ac:dyDescent="0.3">
      <c r="B6" s="10"/>
      <c r="C6" s="10"/>
      <c r="D6" s="10"/>
      <c r="E6" s="10"/>
      <c r="F6" s="10"/>
      <c r="G6" s="10"/>
      <c r="H6" s="10"/>
      <c r="I6" s="10"/>
      <c r="J6" s="10"/>
      <c r="K6" s="10"/>
      <c r="L6" s="10"/>
      <c r="M6" s="10"/>
      <c r="N6" s="10"/>
      <c r="O6" s="10"/>
      <c r="P6" s="10"/>
      <c r="Q6" s="10"/>
      <c r="R6" s="10"/>
      <c r="S6" s="10"/>
      <c r="T6" s="10"/>
      <c r="U6" s="10"/>
      <c r="V6" s="10"/>
      <c r="W6" s="10"/>
      <c r="X6" s="10"/>
      <c r="Y6" s="10"/>
      <c r="Z6" s="10"/>
      <c r="AA6" s="10"/>
      <c r="AB6" s="10"/>
    </row>
    <row r="7" spans="2:29" x14ac:dyDescent="0.3">
      <c r="B7" s="10"/>
      <c r="C7" s="10"/>
      <c r="D7" s="10"/>
      <c r="E7" s="10"/>
      <c r="F7" s="10"/>
      <c r="G7" s="10"/>
      <c r="H7" s="10"/>
      <c r="I7" s="10"/>
      <c r="J7" s="10"/>
      <c r="K7" s="10"/>
      <c r="L7" s="10"/>
      <c r="M7" s="10"/>
      <c r="N7" s="10"/>
      <c r="O7" s="10"/>
      <c r="P7" s="10"/>
      <c r="Q7" s="10"/>
      <c r="R7" s="10"/>
      <c r="S7" s="10"/>
      <c r="T7" s="10"/>
      <c r="U7" s="10"/>
      <c r="V7" s="10"/>
      <c r="W7" s="10"/>
      <c r="X7" s="10"/>
      <c r="Y7" s="10"/>
      <c r="Z7" s="10"/>
      <c r="AA7" s="10"/>
      <c r="AB7" s="10"/>
    </row>
    <row r="8" spans="2:29" x14ac:dyDescent="0.3">
      <c r="B8" s="10"/>
      <c r="C8" s="10"/>
      <c r="D8" s="10"/>
      <c r="E8" s="10"/>
      <c r="F8" s="10"/>
      <c r="G8" s="10"/>
      <c r="H8" s="10"/>
      <c r="I8" s="10"/>
      <c r="J8" s="10"/>
      <c r="K8" s="10"/>
      <c r="L8" s="10"/>
      <c r="M8" s="10"/>
      <c r="N8" s="10"/>
      <c r="O8" s="10"/>
      <c r="P8" s="10"/>
      <c r="Q8" s="10"/>
      <c r="R8" s="10"/>
      <c r="S8" s="10"/>
      <c r="T8" s="10"/>
      <c r="U8" s="10"/>
      <c r="V8" s="10"/>
      <c r="W8" s="10"/>
      <c r="X8" s="10"/>
      <c r="Y8" s="10"/>
      <c r="Z8" s="10"/>
      <c r="AA8" s="10"/>
      <c r="AB8" s="10"/>
    </row>
    <row r="19" spans="9:9" x14ac:dyDescent="0.3">
      <c r="I19">
        <f>'Pivot 6'!A4</f>
        <v>34727</v>
      </c>
    </row>
  </sheetData>
  <mergeCells count="1">
    <mergeCell ref="B2:AB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E8E-B08F-4D10-B87B-29D1CCBD1A37}">
  <dimension ref="A3:B8"/>
  <sheetViews>
    <sheetView workbookViewId="0">
      <selection activeCell="N10" sqref="N10"/>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61C3A-A018-4E9B-BC1F-5AAD460CC4F9}">
  <dimension ref="A3:B14"/>
  <sheetViews>
    <sheetView workbookViewId="0">
      <selection activeCell="Q14" sqref="Q14"/>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v>37</v>
      </c>
    </row>
    <row r="5" spans="1:2" x14ac:dyDescent="0.3">
      <c r="A5" s="4" t="s">
        <v>20</v>
      </c>
      <c r="B5">
        <v>18</v>
      </c>
    </row>
    <row r="6" spans="1:2" x14ac:dyDescent="0.3">
      <c r="A6" s="4" t="s">
        <v>9</v>
      </c>
      <c r="B6">
        <v>13</v>
      </c>
    </row>
    <row r="7" spans="1:2" x14ac:dyDescent="0.3">
      <c r="A7" s="4" t="s">
        <v>19</v>
      </c>
      <c r="B7">
        <v>11</v>
      </c>
    </row>
    <row r="8" spans="1:2" x14ac:dyDescent="0.3">
      <c r="A8" s="4" t="s">
        <v>21</v>
      </c>
      <c r="B8">
        <v>10</v>
      </c>
    </row>
    <row r="9" spans="1:2" x14ac:dyDescent="0.3">
      <c r="A9" s="4" t="s">
        <v>13</v>
      </c>
      <c r="B9">
        <v>8</v>
      </c>
    </row>
    <row r="10" spans="1:2" x14ac:dyDescent="0.3">
      <c r="A10" s="4" t="s">
        <v>25</v>
      </c>
      <c r="B10">
        <v>6</v>
      </c>
    </row>
    <row r="11" spans="1:2" x14ac:dyDescent="0.3">
      <c r="A11" s="4" t="s">
        <v>26</v>
      </c>
      <c r="B11">
        <v>6</v>
      </c>
    </row>
    <row r="12" spans="1:2" x14ac:dyDescent="0.3">
      <c r="A12" s="4" t="s">
        <v>22</v>
      </c>
      <c r="B12">
        <v>6</v>
      </c>
    </row>
    <row r="13" spans="1:2" x14ac:dyDescent="0.3">
      <c r="A13" s="4" t="s">
        <v>16</v>
      </c>
      <c r="B13">
        <v>5</v>
      </c>
    </row>
    <row r="14" spans="1:2" x14ac:dyDescent="0.3">
      <c r="A14" s="4" t="s">
        <v>33</v>
      </c>
      <c r="B1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8B0E-C1CF-48DB-A558-BC9918358A85}">
  <dimension ref="A3:B19"/>
  <sheetViews>
    <sheetView workbookViewId="0">
      <selection activeCell="P12" sqref="P12"/>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v>11171</v>
      </c>
    </row>
    <row r="5" spans="1:2" x14ac:dyDescent="0.3">
      <c r="A5" s="6" t="s">
        <v>39</v>
      </c>
      <c r="B5">
        <v>771</v>
      </c>
    </row>
    <row r="6" spans="1:2" x14ac:dyDescent="0.3">
      <c r="A6" s="6" t="s">
        <v>40</v>
      </c>
      <c r="B6">
        <v>3103</v>
      </c>
    </row>
    <row r="7" spans="1:2" x14ac:dyDescent="0.3">
      <c r="A7" s="6" t="s">
        <v>41</v>
      </c>
      <c r="B7">
        <v>4803</v>
      </c>
    </row>
    <row r="8" spans="1:2" x14ac:dyDescent="0.3">
      <c r="A8" s="6" t="s">
        <v>42</v>
      </c>
      <c r="B8">
        <v>2494</v>
      </c>
    </row>
    <row r="9" spans="1:2" x14ac:dyDescent="0.3">
      <c r="A9" s="4" t="s">
        <v>37</v>
      </c>
      <c r="B9">
        <v>23556</v>
      </c>
    </row>
    <row r="10" spans="1:2" x14ac:dyDescent="0.3">
      <c r="A10" s="6" t="s">
        <v>43</v>
      </c>
      <c r="B10">
        <v>3026</v>
      </c>
    </row>
    <row r="11" spans="1:2" x14ac:dyDescent="0.3">
      <c r="A11" s="6" t="s">
        <v>44</v>
      </c>
      <c r="B11">
        <v>4127</v>
      </c>
    </row>
    <row r="12" spans="1:2" x14ac:dyDescent="0.3">
      <c r="A12" s="6" t="s">
        <v>45</v>
      </c>
      <c r="B12">
        <v>3875</v>
      </c>
    </row>
    <row r="13" spans="1:2" x14ac:dyDescent="0.3">
      <c r="A13" s="6" t="s">
        <v>46</v>
      </c>
      <c r="B13">
        <v>1528</v>
      </c>
    </row>
    <row r="14" spans="1:2" x14ac:dyDescent="0.3">
      <c r="A14" s="6" t="s">
        <v>47</v>
      </c>
      <c r="B14">
        <v>1684</v>
      </c>
    </row>
    <row r="15" spans="1:2" x14ac:dyDescent="0.3">
      <c r="A15" s="6" t="s">
        <v>48</v>
      </c>
      <c r="B15">
        <v>3537</v>
      </c>
    </row>
    <row r="16" spans="1:2" x14ac:dyDescent="0.3">
      <c r="A16" s="6" t="s">
        <v>49</v>
      </c>
      <c r="B16">
        <v>1536</v>
      </c>
    </row>
    <row r="17" spans="1:2" x14ac:dyDescent="0.3">
      <c r="A17" s="6" t="s">
        <v>50</v>
      </c>
      <c r="B17">
        <v>2864</v>
      </c>
    </row>
    <row r="18" spans="1:2" x14ac:dyDescent="0.3">
      <c r="A18" s="6" t="s">
        <v>39</v>
      </c>
      <c r="B18">
        <v>1379</v>
      </c>
    </row>
    <row r="19" spans="1:2" x14ac:dyDescent="0.3">
      <c r="A19" s="4" t="s">
        <v>33</v>
      </c>
      <c r="B19">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D6115-8036-47C7-AB87-7F392A2D7A94}">
  <dimension ref="A3:B8"/>
  <sheetViews>
    <sheetView workbookViewId="0">
      <selection activeCell="B23" sqref="B23"/>
    </sheetView>
  </sheetViews>
  <sheetFormatPr defaultRowHeight="14.4" x14ac:dyDescent="0.3"/>
  <cols>
    <col min="1" max="1" width="12.5546875" bestFit="1" customWidth="1"/>
    <col min="2" max="2" width="32.21875" bestFit="1" customWidth="1"/>
  </cols>
  <sheetData>
    <row r="3" spans="1:2" x14ac:dyDescent="0.3">
      <c r="A3" s="3" t="s">
        <v>32</v>
      </c>
      <c r="B3" t="s">
        <v>51</v>
      </c>
    </row>
    <row r="4" spans="1:2" x14ac:dyDescent="0.3">
      <c r="A4" s="4" t="s">
        <v>10</v>
      </c>
      <c r="B4" s="7">
        <v>140.87387695413258</v>
      </c>
    </row>
    <row r="5" spans="1:2" x14ac:dyDescent="0.3">
      <c r="A5" s="4" t="s">
        <v>23</v>
      </c>
      <c r="B5" s="7">
        <v>108.368246516667</v>
      </c>
    </row>
    <row r="6" spans="1:2" x14ac:dyDescent="0.3">
      <c r="A6" s="4" t="s">
        <v>14</v>
      </c>
      <c r="B6" s="7">
        <v>180.4410334877862</v>
      </c>
    </row>
    <row r="7" spans="1:2" x14ac:dyDescent="0.3">
      <c r="A7" s="4" t="s">
        <v>17</v>
      </c>
      <c r="B7" s="7">
        <v>108.97659894637712</v>
      </c>
    </row>
    <row r="8" spans="1:2" x14ac:dyDescent="0.3">
      <c r="A8" s="4" t="s">
        <v>33</v>
      </c>
      <c r="B8" s="7">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C487-90F4-4E41-A07E-134DBAE63981}">
  <dimension ref="A3:B14"/>
  <sheetViews>
    <sheetView workbookViewId="0">
      <selection activeCell="B4" sqref="B4"/>
    </sheetView>
  </sheetViews>
  <sheetFormatPr defaultRowHeight="14.4" x14ac:dyDescent="0.3"/>
  <cols>
    <col min="1" max="1" width="12.5546875" bestFit="1" customWidth="1"/>
    <col min="2" max="2" width="20.109375" bestFit="1" customWidth="1"/>
    <col min="3" max="16" width="3" bestFit="1" customWidth="1"/>
    <col min="17" max="112" width="4" bestFit="1" customWidth="1"/>
    <col min="113" max="113" width="10.77734375" bestFit="1" customWidth="1"/>
  </cols>
  <sheetData>
    <row r="3" spans="1:2" x14ac:dyDescent="0.3">
      <c r="A3" s="3" t="s">
        <v>32</v>
      </c>
      <c r="B3" t="s">
        <v>38</v>
      </c>
    </row>
    <row r="4" spans="1:2" x14ac:dyDescent="0.3">
      <c r="A4" s="4" t="s">
        <v>24</v>
      </c>
      <c r="B4">
        <v>10562</v>
      </c>
    </row>
    <row r="5" spans="1:2" x14ac:dyDescent="0.3">
      <c r="A5" s="4" t="s">
        <v>20</v>
      </c>
      <c r="B5">
        <v>6157</v>
      </c>
    </row>
    <row r="6" spans="1:2" x14ac:dyDescent="0.3">
      <c r="A6" s="4" t="s">
        <v>9</v>
      </c>
      <c r="B6">
        <v>3576</v>
      </c>
    </row>
    <row r="7" spans="1:2" x14ac:dyDescent="0.3">
      <c r="A7" s="4" t="s">
        <v>19</v>
      </c>
      <c r="B7">
        <v>3566</v>
      </c>
    </row>
    <row r="8" spans="1:2" x14ac:dyDescent="0.3">
      <c r="A8" s="4" t="s">
        <v>13</v>
      </c>
      <c r="B8">
        <v>2049</v>
      </c>
    </row>
    <row r="9" spans="1:2" x14ac:dyDescent="0.3">
      <c r="A9" s="4" t="s">
        <v>21</v>
      </c>
      <c r="B9">
        <v>2017</v>
      </c>
    </row>
    <row r="10" spans="1:2" x14ac:dyDescent="0.3">
      <c r="A10" s="4" t="s">
        <v>25</v>
      </c>
      <c r="B10">
        <v>1992</v>
      </c>
    </row>
    <row r="11" spans="1:2" x14ac:dyDescent="0.3">
      <c r="A11" s="4" t="s">
        <v>22</v>
      </c>
      <c r="B11">
        <v>1789</v>
      </c>
    </row>
    <row r="12" spans="1:2" x14ac:dyDescent="0.3">
      <c r="A12" s="4" t="s">
        <v>26</v>
      </c>
      <c r="B12">
        <v>1534</v>
      </c>
    </row>
    <row r="13" spans="1:2" x14ac:dyDescent="0.3">
      <c r="A13" s="4" t="s">
        <v>16</v>
      </c>
      <c r="B13">
        <v>1485</v>
      </c>
    </row>
    <row r="14" spans="1:2" x14ac:dyDescent="0.3">
      <c r="A14" s="4" t="s">
        <v>33</v>
      </c>
      <c r="B14">
        <v>34727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BE95-34A2-45A3-8B7B-0CBEC2894865}">
  <dimension ref="A3:B4"/>
  <sheetViews>
    <sheetView workbookViewId="0">
      <selection activeCell="B4" sqref="B4"/>
    </sheetView>
  </sheetViews>
  <sheetFormatPr defaultRowHeight="14.4" x14ac:dyDescent="0.3"/>
  <cols>
    <col min="1" max="1" width="20.109375" bestFit="1" customWidth="1"/>
    <col min="2" max="2" width="15.44140625" bestFit="1" customWidth="1"/>
  </cols>
  <sheetData>
    <row r="3" spans="1:2" x14ac:dyDescent="0.3">
      <c r="A3" t="s">
        <v>38</v>
      </c>
      <c r="B3" t="s">
        <v>34</v>
      </c>
    </row>
    <row r="4" spans="1:2" x14ac:dyDescent="0.3">
      <c r="A4" s="5">
        <v>34727</v>
      </c>
      <c r="B4" s="5">
        <v>3371078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1" workbookViewId="0"/>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4.6640625" customWidth="1"/>
    <col min="8" max="8" width="15.6640625" customWidth="1"/>
    <col min="9" max="9" width="11.6640625" customWidth="1"/>
    <col min="10" max="10" width="14.109375" customWidth="1"/>
    <col min="11" max="11" width="23.3320312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1</vt:lpstr>
      <vt:lpstr>Pivot 2</vt:lpstr>
      <vt:lpstr>Pivot 3</vt:lpstr>
      <vt:lpstr>Pivot 4</vt:lpstr>
      <vt:lpstr>Pivot 5</vt:lpstr>
      <vt:lpstr>Pivot 6</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hp hp</cp:lastModifiedBy>
  <dcterms:created xsi:type="dcterms:W3CDTF">2015-06-05T18:17:20Z</dcterms:created>
  <dcterms:modified xsi:type="dcterms:W3CDTF">2026-04-13T13:33:06Z</dcterms:modified>
</cp:coreProperties>
</file>